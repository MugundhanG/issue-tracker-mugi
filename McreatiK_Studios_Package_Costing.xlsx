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ssumptions" sheetId="2" state="visible" r:id="rId4"/>
    <sheet name="Package Costing" sheetId="3" state="visible" r:id="rId5"/>
    <sheet name="Revenue Scenar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<sst xmlns="http://schemas.openxmlformats.org/spreadsheetml/2006/main" count="245" uniqueCount="171">
  <si>
    <t xml:space="preserve">How to use this workbook</t>
  </si>
  <si>
    <t xml:space="preserve">1. Assumptions tab: replace the yellow cells with your real freelancer and album-printer quotes first.</t>
  </si>
  <si>
    <t xml:space="preserve">2. Package Costing tab: edit price (column C) or quantities. Status turns green (OK ≥30%), yellow (Thin 20–30%) or red (Reprice &lt;20%).</t>
  </si>
  <si>
    <t xml:space="preserve">3. Revenue Scenario tab: enter expected bookings per month to see revenue, contribution and advance cash.</t>
  </si>
  <si>
    <t xml:space="preserve">Colour legend</t>
  </si>
  <si>
    <t xml:space="preserve">Blue text = input you can change · Black = formula · Green = linked from another tab · Yellow fill = key assumption to verify</t>
  </si>
  <si>
    <t xml:space="preserve">Where the numbers come from</t>
  </si>
  <si>
    <t xml:space="preserve">From you: crew ₹5K–8K/day, album ₹3K–6K, 25 km free radius, 30/50/20 payment, 1-week previews, 45-day delivery.</t>
  </si>
  <si>
    <t xml:space="preserve">Estimates (verify): editing, drone, LED wall, live streaming, conveyance, short-session factor, vehicle cost per km.</t>
  </si>
  <si>
    <t xml:space="preserve">Direct cost excludes your own time, equipment, marketing and GST.</t>
  </si>
  <si>
    <t xml:space="preserve">Key findings</t>
  </si>
  <si>
    <t xml:space="preserve">• Wedding Essential (₹49,999) is the thinnest package (~22%). It is your entry offer: shoot one role yourself, or raise to ₹54,999.</t>
  </si>
  <si>
    <t xml:space="preserve">• Grand (₹1,49,999) is slightly under the 30% target because of the extra session + drone + second album.</t>
  </si>
  <si>
    <t xml:space="preserve">• Corporate and birthday packages have the best margins (36–55%) because they use short sessions with fewer people.</t>
  </si>
  <si>
    <t xml:space="preserve">• Add-ons (drone, albums, reels, express delivery) are 30–70% margin. Train yourself to offer them on every booking call.</t>
  </si>
  <si>
    <t xml:space="preserve">McreatiK Studios – Cost Assumptions (Chennai base)</t>
  </si>
  <si>
    <t xml:space="preserve">Blue = input you can edit. Yellow = key assumptions to confirm with your actual vendor quotes.</t>
  </si>
  <si>
    <t xml:space="preserve">Cost driver</t>
  </si>
  <si>
    <t xml:space="preserve">Unit</t>
  </si>
  <si>
    <t xml:space="preserve">Rate (₹)</t>
  </si>
  <si>
    <t xml:space="preserve">Source / note</t>
  </si>
  <si>
    <t xml:space="preserve">Traditional photographer</t>
  </si>
  <si>
    <t xml:space="preserve">per full session (≤6 hrs)</t>
  </si>
  <si>
    <t xml:space="preserve">User range ₹5K–8K/day; traditional shooters at the lower end</t>
  </si>
  <si>
    <t xml:space="preserve">Traditional videographer</t>
  </si>
  <si>
    <t xml:space="preserve">per full session</t>
  </si>
  <si>
    <t xml:space="preserve">User range ₹5K–8K/day</t>
  </si>
  <si>
    <t xml:space="preserve">Candid photographer</t>
  </si>
  <si>
    <t xml:space="preserve">User range ₹5K–8K/day; candid at the upper end</t>
  </si>
  <si>
    <t xml:space="preserve">Cinematographer</t>
  </si>
  <si>
    <t xml:space="preserve">Short-session crew (candid/cine)</t>
  </si>
  <si>
    <t xml:space="preserve">per session ≤3 hrs</t>
  </si>
  <si>
    <t xml:space="preserve">Candid rate × short-session factor (below)</t>
  </si>
  <si>
    <t xml:space="preserve">Drone operator + drone</t>
  </si>
  <si>
    <t xml:space="preserve">per session</t>
  </si>
  <si>
    <t xml:space="preserve">Estimate – confirm with local operator</t>
  </si>
  <si>
    <t xml:space="preserve">Photo editing – traditional</t>
  </si>
  <si>
    <t xml:space="preserve">Estimate (outsourced culling + colour)</t>
  </si>
  <si>
    <t xml:space="preserve">Photo editing – candid</t>
  </si>
  <si>
    <t xml:space="preserve">Traditional video editing</t>
  </si>
  <si>
    <t xml:space="preserve">Estimate</t>
  </si>
  <si>
    <t xml:space="preserve">Highlight video (3–4 min)</t>
  </si>
  <si>
    <t xml:space="preserve">per film</t>
  </si>
  <si>
    <t xml:space="preserve">Cinematic film + teaser</t>
  </si>
  <si>
    <t xml:space="preserve">per film (5–7 min)</t>
  </si>
  <si>
    <t xml:space="preserve">Estimate; qty 1.25 = longer 8–10 min film</t>
  </si>
  <si>
    <t xml:space="preserve">Instagram reel edit</t>
  </si>
  <si>
    <t xml:space="preserve">per reel</t>
  </si>
  <si>
    <t xml:space="preserve">Album 12x36, 30 sheets</t>
  </si>
  <si>
    <t xml:space="preserve">per album</t>
  </si>
  <si>
    <t xml:space="preserve">User range ₹3K–6K</t>
  </si>
  <si>
    <t xml:space="preserve">Album 12x36, 40 sheets</t>
  </si>
  <si>
    <t xml:space="preserve">Album 12x36, 50 sheets premium</t>
  </si>
  <si>
    <t xml:space="preserve">Top of user range ₹3K–6K</t>
  </si>
  <si>
    <t xml:space="preserve">Album 12x30, 25 sheets (parents)</t>
  </si>
  <si>
    <t xml:space="preserve">Compact album 12x18, 20 sheets</t>
  </si>
  <si>
    <t xml:space="preserve">Mini album / photobook 8x12</t>
  </si>
  <si>
    <t xml:space="preserve">Album design</t>
  </si>
  <si>
    <t xml:space="preserve">Estimate (outsourced); ₹0 if designed in-house</t>
  </si>
  <si>
    <t xml:space="preserve">Pen drive + box + online gallery</t>
  </si>
  <si>
    <t xml:space="preserve">per package</t>
  </si>
  <si>
    <t xml:space="preserve">Crew local conveyance</t>
  </si>
  <si>
    <t xml:space="preserve">per crew-session</t>
  </si>
  <si>
    <t xml:space="preserve">Estimate, within 25 km</t>
  </si>
  <si>
    <t xml:space="preserve">Other direct cost (₹ amount)</t>
  </si>
  <si>
    <t xml:space="preserve">₹1 per unit</t>
  </si>
  <si>
    <t xml:space="preserve">Qty column holds the rupee amount (vendor quotes, extra sheets, props)</t>
  </si>
  <si>
    <t xml:space="preserve">Other settings</t>
  </si>
  <si>
    <t xml:space="preserve">Short-session factor</t>
  </si>
  <si>
    <t xml:space="preserve">× full-session rate</t>
  </si>
  <si>
    <t xml:space="preserve">Assumes freelancers accept ~60% of day rate for ≤3 hr jobs – confirm</t>
  </si>
  <si>
    <t xml:space="preserve">Target contribution margin</t>
  </si>
  <si>
    <t xml:space="preserve">Below this the package is flagged 'Thin'</t>
  </si>
  <si>
    <t xml:space="preserve">Reprice threshold</t>
  </si>
  <si>
    <t xml:space="preserve">Below this the package is flagged 'Reprice'</t>
  </si>
  <si>
    <t xml:space="preserve">Travel charge to client (beyond 25 km)</t>
  </si>
  <si>
    <t xml:space="preserve">₹ per km, round trip</t>
  </si>
  <si>
    <t xml:space="preserve">Client-facing rate</t>
  </si>
  <si>
    <t xml:space="preserve">Vehicle cost to you</t>
  </si>
  <si>
    <t xml:space="preserve">₹ per km</t>
  </si>
  <si>
    <t xml:space="preserve">Estimate – cab/fuel cost</t>
  </si>
  <si>
    <t xml:space="preserve">Free travel radius</t>
  </si>
  <si>
    <t xml:space="preserve">km from Chennai base</t>
  </si>
  <si>
    <t xml:space="preserve">From user</t>
  </si>
  <si>
    <t xml:space="preserve">Booking advance</t>
  </si>
  <si>
    <t xml:space="preserve">% of package</t>
  </si>
  <si>
    <t xml:space="preserve">From user: 30 / 50 / 20</t>
  </si>
  <si>
    <t xml:space="preserve">Event-day payment</t>
  </si>
  <si>
    <t xml:space="preserve">Before final delivery</t>
  </si>
  <si>
    <t xml:space="preserve">Margin per km on travel</t>
  </si>
  <si>
    <t xml:space="preserve">Contribution margin = package price − direct delivery cost. It does NOT include your time, equipment depreciation, marketing, software or GST. Aim for 30%+ so there is room for those.</t>
  </si>
  <si>
    <t xml:space="preserve">McreatiK Studios – Package Costing &amp; Margins</t>
  </si>
  <si>
    <t xml:space="preserve">Quantities (blue) × unit rates (row 4, linked from Assumptions) = direct cost. Edit price or quantities; margin and status update.</t>
  </si>
  <si>
    <t xml:space="preserve">Unit rate →</t>
  </si>
  <si>
    <t xml:space="preserve">Category</t>
  </si>
  <si>
    <t xml:space="preserve">Package / add-on</t>
  </si>
  <si>
    <t xml:space="preserve">Price (₹)</t>
  </si>
  <si>
    <t xml:space="preserve">Direct cost (₹)</t>
  </si>
  <si>
    <t xml:space="preserve">Contribution (₹)</t>
  </si>
  <si>
    <t xml:space="preserve">Margin %</t>
  </si>
  <si>
    <t xml:space="preserve">Status</t>
  </si>
  <si>
    <t xml:space="preserve">What's included / notes</t>
  </si>
  <si>
    <t xml:space="preserve">Wedding</t>
  </si>
  <si>
    <t xml:space="preserve">Essential</t>
  </si>
  <si>
    <t xml:space="preserve">Reception + Muhurtham. Trad photo + trad video. 30-sheet album. Thin margin – shoot one role yourself to lift it.</t>
  </si>
  <si>
    <t xml:space="preserve">Classic</t>
  </si>
  <si>
    <t xml:space="preserve">Adds candid photographer. 40-sheet album.</t>
  </si>
  <si>
    <t xml:space="preserve">Signature</t>
  </si>
  <si>
    <t xml:space="preserve">Full 4-person crew, cinematic film + teaser, 2 reels, 2 mini albums.</t>
  </si>
  <si>
    <t xml:space="preserve">Grand</t>
  </si>
  <si>
    <t xml:space="preserve">Signature + short ceremony session (Nalangu/Mehendi/Haldi) + drone at 1 session + parents' album.</t>
  </si>
  <si>
    <t xml:space="preserve">Wedding add-on</t>
  </si>
  <si>
    <t xml:space="preserve">Extra ceremony session – Essential crew</t>
  </si>
  <si>
    <t xml:space="preserve">Engagement / Nalangu / Sangeet added to a wedding booking. OT = extra album sheets.</t>
  </si>
  <si>
    <t xml:space="preserve">Extra ceremony session – Classic crew</t>
  </si>
  <si>
    <t xml:space="preserve">Extra ceremony session – Signature crew</t>
  </si>
  <si>
    <t xml:space="preserve">Pre-wedding</t>
  </si>
  <si>
    <t xml:space="preserve">Pre-wedding shoot</t>
  </si>
  <si>
    <t xml:space="preserve">Up to 5 hrs, 2 outfits, Chennai location. Location/permit fees extra.</t>
  </si>
  <si>
    <t xml:space="preserve">Ceremony</t>
  </si>
  <si>
    <t xml:space="preserve">Photo Only</t>
  </si>
  <si>
    <t xml:space="preserve">Engagement, puberty function, valaikaappu, naming, ear-piercing, housewarming, 60th/80th. 1 session ≤6 hrs.</t>
  </si>
  <si>
    <t xml:space="preserve">Trad photo + trad video.</t>
  </si>
  <si>
    <t xml:space="preserve">Premium</t>
  </si>
  <si>
    <t xml:space="preserve">Adds candid + reel + 12x30 album.</t>
  </si>
  <si>
    <t xml:space="preserve">Birthday</t>
  </si>
  <si>
    <t xml:space="preserve">Birthday Photo</t>
  </si>
  <si>
    <t xml:space="preserve">≤3 hrs, candid photos + 8x12 photobook.</t>
  </si>
  <si>
    <t xml:space="preserve">Birthday Photo + Video</t>
  </si>
  <si>
    <t xml:space="preserve">≤3 hrs, candid + cinematic highlight + reel.</t>
  </si>
  <si>
    <t xml:space="preserve">Corporate</t>
  </si>
  <si>
    <t xml:space="preserve">Corporate Half Day – Photo</t>
  </si>
  <si>
    <t xml:space="preserve">≤4 hrs. 30 edited picks in 24 hrs.</t>
  </si>
  <si>
    <t xml:space="preserve">Corporate Full Day – Photo</t>
  </si>
  <si>
    <t xml:space="preserve">≤8 hrs.</t>
  </si>
  <si>
    <t xml:space="preserve">Corporate Full Day – Photo + Video</t>
  </si>
  <si>
    <t xml:space="preserve">Recap film, 2 reels, speech clips (OT).</t>
  </si>
  <si>
    <t xml:space="preserve">Add-on</t>
  </si>
  <si>
    <t xml:space="preserve">Drone coverage (per session)</t>
  </si>
  <si>
    <t xml:space="preserve">Subject to venue permission and DGCA airspace rules.</t>
  </si>
  <si>
    <t xml:space="preserve">Extra candid photographer (per session)</t>
  </si>
  <si>
    <t xml:space="preserve">Extra cinematographer (per session)</t>
  </si>
  <si>
    <t xml:space="preserve">OT = extra edit time.</t>
  </si>
  <si>
    <t xml:space="preserve">Live streaming (per session)</t>
  </si>
  <si>
    <t xml:space="preserve">Estimate – streaming kit + data + operator.</t>
  </si>
  <si>
    <t xml:space="preserve">LED wall live display (per session)</t>
  </si>
  <si>
    <t xml:space="preserve">Estimate – 8x12 ft vendor rental. Get 2 quotes.</t>
  </si>
  <si>
    <t xml:space="preserve">Same-day highlight video</t>
  </si>
  <si>
    <t xml:space="preserve">On-site editor + setup.</t>
  </si>
  <si>
    <t xml:space="preserve">Extra album 12x30, 25 sheets</t>
  </si>
  <si>
    <t xml:space="preserve">Premium lay-flat album upgrade</t>
  </si>
  <si>
    <t xml:space="preserve">Mini album 8x12</t>
  </si>
  <si>
    <t xml:space="preserve">Framed print 20x30</t>
  </si>
  <si>
    <t xml:space="preserve">Reels pack (3 reels)</t>
  </si>
  <si>
    <t xml:space="preserve">Digital video invitation</t>
  </si>
  <si>
    <t xml:space="preserve">Cross-sell from McreatiK Studios digital invites.</t>
  </si>
  <si>
    <t xml:space="preserve">Express delivery (21 days)</t>
  </si>
  <si>
    <t xml:space="preserve">Rush editing premium.</t>
  </si>
  <si>
    <t xml:space="preserve">Raw video footage on drive</t>
  </si>
  <si>
    <t xml:space="preserve">Extra hour (per crew member)</t>
  </si>
  <si>
    <t xml:space="preserve">OT column = rupee amount of any extra direct cost (rate ₹1). Fractional quantities = partial use (e.g. 0.5 gallery).</t>
  </si>
  <si>
    <t xml:space="preserve">Monthly Revenue Scenario</t>
  </si>
  <si>
    <t xml:space="preserve">EXAMPLE numbers for a peak-season month – replace bookings (blue) with your real pipeline. Not a forecast.</t>
  </si>
  <si>
    <t xml:space="preserve">Package</t>
  </si>
  <si>
    <t xml:space="preserve">Contribution / unit (₹)</t>
  </si>
  <si>
    <t xml:space="preserve">Bookings</t>
  </si>
  <si>
    <t xml:space="preserve">Revenue (₹)</t>
  </si>
  <si>
    <t xml:space="preserve">Total</t>
  </si>
  <si>
    <t xml:space="preserve">Blended margin</t>
  </si>
  <si>
    <t xml:space="preserve">Cash collected as booking advances (30%)</t>
  </si>
  <si>
    <t xml:space="preserve">Reality check: 4 weddings + 4 ceremonies in one month means ~16 shoot sessions and ~45 days of editing load. Off-season months (Aadi, Margazhi) will be far lower.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</si>
</sst>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;&quot;(₹&quot;#,##0\);\-"/>
    <numFmt numFmtId="166" formatCode="0.00\x"/>
    <numFmt numFmtId="167" formatCode="0.0%;\(0.0%\);\-"/>
    <numFmt numFmtId="168" formatCode="0&quot; km&quot;"/>
    <numFmt numFmtId="169" formatCode="#,##0.###;;&quot;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8F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0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4" customFormat="false" ht="15" hidden="false" customHeight="false" outlineLevel="0" collapsed="false">
      <c r="A4" s="5" t="s">
        <v>17</v>
      </c>
      <c r="B4" s="5" t="s">
        <v>18</v>
      </c>
      <c r="C4" s="5" t="s">
        <v>19</v>
      </c>
      <c r="D4" s="5" t="s">
        <v>20</v>
      </c>
    </row>
    <row r="5" customFormat="false" ht="15" hidden="false" customHeight="false" outlineLevel="0" collapsed="false">
      <c r="A5" s="2" t="s">
        <v>21</v>
      </c>
      <c r="B5" s="2" t="s">
        <v>22</v>
      </c>
      <c r="C5" s="6" t="n">
        <v>5500</v>
      </c>
      <c r="D5" s="2" t="s">
        <v>23</v>
      </c>
    </row>
    <row r="6" customFormat="false" ht="15" hidden="false" customHeight="false" outlineLevel="0" collapsed="false">
      <c r="A6" s="2" t="s">
        <v>24</v>
      </c>
      <c r="B6" s="2" t="s">
        <v>25</v>
      </c>
      <c r="C6" s="6" t="n">
        <v>5500</v>
      </c>
      <c r="D6" s="2" t="s">
        <v>26</v>
      </c>
    </row>
    <row r="7" customFormat="false" ht="15" hidden="false" customHeight="false" outlineLevel="0" collapsed="false">
      <c r="A7" s="2" t="s">
        <v>27</v>
      </c>
      <c r="B7" s="2" t="s">
        <v>25</v>
      </c>
      <c r="C7" s="6" t="n">
        <v>7500</v>
      </c>
      <c r="D7" s="2" t="s">
        <v>28</v>
      </c>
    </row>
    <row r="8" customFormat="false" ht="15" hidden="false" customHeight="false" outlineLevel="0" collapsed="false">
      <c r="A8" s="2" t="s">
        <v>29</v>
      </c>
      <c r="B8" s="2" t="s">
        <v>25</v>
      </c>
      <c r="C8" s="6" t="n">
        <v>7500</v>
      </c>
      <c r="D8" s="2" t="s">
        <v>26</v>
      </c>
    </row>
    <row r="9" customFormat="false" ht="15" hidden="false" customHeight="false" outlineLevel="0" collapsed="false">
      <c r="A9" s="2" t="s">
        <v>30</v>
      </c>
      <c r="B9" s="2" t="s">
        <v>31</v>
      </c>
      <c r="C9" s="7" t="n">
        <f aca="false">C7*$C$30</f>
        <v>4500</v>
      </c>
      <c r="D9" s="2" t="s">
        <v>32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6" t="n">
        <v>5500</v>
      </c>
      <c r="D10" s="2" t="s">
        <v>35</v>
      </c>
    </row>
    <row r="11" customFormat="false" ht="15" hidden="false" customHeight="false" outlineLevel="0" collapsed="false">
      <c r="A11" s="2" t="s">
        <v>36</v>
      </c>
      <c r="B11" s="2" t="s">
        <v>34</v>
      </c>
      <c r="C11" s="8" t="n">
        <v>1500</v>
      </c>
      <c r="D11" s="2" t="s">
        <v>37</v>
      </c>
    </row>
    <row r="12" customFormat="false" ht="15" hidden="false" customHeight="false" outlineLevel="0" collapsed="false">
      <c r="A12" s="2" t="s">
        <v>38</v>
      </c>
      <c r="B12" s="2" t="s">
        <v>34</v>
      </c>
      <c r="C12" s="8" t="n">
        <v>1500</v>
      </c>
      <c r="D12" s="2" t="s">
        <v>37</v>
      </c>
    </row>
    <row r="13" customFormat="false" ht="15" hidden="false" customHeight="false" outlineLevel="0" collapsed="false">
      <c r="A13" s="2" t="s">
        <v>39</v>
      </c>
      <c r="B13" s="2" t="s">
        <v>34</v>
      </c>
      <c r="C13" s="8" t="n">
        <v>2000</v>
      </c>
      <c r="D13" s="2" t="s">
        <v>40</v>
      </c>
    </row>
    <row r="14" customFormat="false" ht="15" hidden="false" customHeight="false" outlineLevel="0" collapsed="false">
      <c r="A14" s="2" t="s">
        <v>41</v>
      </c>
      <c r="B14" s="2" t="s">
        <v>42</v>
      </c>
      <c r="C14" s="8" t="n">
        <v>2000</v>
      </c>
      <c r="D14" s="2" t="s">
        <v>40</v>
      </c>
    </row>
    <row r="15" customFormat="false" ht="15" hidden="false" customHeight="false" outlineLevel="0" collapsed="false">
      <c r="A15" s="2" t="s">
        <v>43</v>
      </c>
      <c r="B15" s="2" t="s">
        <v>44</v>
      </c>
      <c r="C15" s="8" t="n">
        <v>8000</v>
      </c>
      <c r="D15" s="2" t="s">
        <v>45</v>
      </c>
    </row>
    <row r="16" customFormat="false" ht="15" hidden="false" customHeight="false" outlineLevel="0" collapsed="false">
      <c r="A16" s="2" t="s">
        <v>46</v>
      </c>
      <c r="B16" s="2" t="s">
        <v>47</v>
      </c>
      <c r="C16" s="8" t="n">
        <v>1000</v>
      </c>
      <c r="D16" s="2" t="s">
        <v>40</v>
      </c>
    </row>
    <row r="17" customFormat="false" ht="15" hidden="false" customHeight="false" outlineLevel="0" collapsed="false">
      <c r="A17" s="2" t="s">
        <v>48</v>
      </c>
      <c r="B17" s="2" t="s">
        <v>49</v>
      </c>
      <c r="C17" s="6" t="n">
        <v>4000</v>
      </c>
      <c r="D17" s="2" t="s">
        <v>50</v>
      </c>
    </row>
    <row r="18" customFormat="false" ht="15" hidden="false" customHeight="false" outlineLevel="0" collapsed="false">
      <c r="A18" s="2" t="s">
        <v>51</v>
      </c>
      <c r="B18" s="2" t="s">
        <v>49</v>
      </c>
      <c r="C18" s="6" t="n">
        <v>5000</v>
      </c>
      <c r="D18" s="2" t="s">
        <v>50</v>
      </c>
    </row>
    <row r="19" customFormat="false" ht="15" hidden="false" customHeight="false" outlineLevel="0" collapsed="false">
      <c r="A19" s="2" t="s">
        <v>52</v>
      </c>
      <c r="B19" s="2" t="s">
        <v>49</v>
      </c>
      <c r="C19" s="6" t="n">
        <v>6000</v>
      </c>
      <c r="D19" s="2" t="s">
        <v>53</v>
      </c>
    </row>
    <row r="20" customFormat="false" ht="15" hidden="false" customHeight="false" outlineLevel="0" collapsed="false">
      <c r="A20" s="2" t="s">
        <v>54</v>
      </c>
      <c r="B20" s="2" t="s">
        <v>49</v>
      </c>
      <c r="C20" s="8" t="n">
        <v>3500</v>
      </c>
      <c r="D20" s="2" t="s">
        <v>50</v>
      </c>
    </row>
    <row r="21" customFormat="false" ht="15" hidden="false" customHeight="false" outlineLevel="0" collapsed="false">
      <c r="A21" s="2" t="s">
        <v>55</v>
      </c>
      <c r="B21" s="2" t="s">
        <v>49</v>
      </c>
      <c r="C21" s="8" t="n">
        <v>2500</v>
      </c>
      <c r="D21" s="2" t="s">
        <v>40</v>
      </c>
    </row>
    <row r="22" customFormat="false" ht="15" hidden="false" customHeight="false" outlineLevel="0" collapsed="false">
      <c r="A22" s="2" t="s">
        <v>56</v>
      </c>
      <c r="B22" s="2" t="s">
        <v>49</v>
      </c>
      <c r="C22" s="8" t="n">
        <v>1000</v>
      </c>
      <c r="D22" s="2" t="s">
        <v>40</v>
      </c>
    </row>
    <row r="23" customFormat="false" ht="15" hidden="false" customHeight="false" outlineLevel="0" collapsed="false">
      <c r="A23" s="2" t="s">
        <v>57</v>
      </c>
      <c r="B23" s="2" t="s">
        <v>49</v>
      </c>
      <c r="C23" s="8" t="n">
        <v>1000</v>
      </c>
      <c r="D23" s="2" t="s">
        <v>58</v>
      </c>
    </row>
    <row r="24" customFormat="false" ht="15" hidden="false" customHeight="false" outlineLevel="0" collapsed="false">
      <c r="A24" s="2" t="s">
        <v>59</v>
      </c>
      <c r="B24" s="2" t="s">
        <v>60</v>
      </c>
      <c r="C24" s="8" t="n">
        <v>800</v>
      </c>
      <c r="D24" s="2" t="s">
        <v>40</v>
      </c>
    </row>
    <row r="25" customFormat="false" ht="15" hidden="false" customHeight="false" outlineLevel="0" collapsed="false">
      <c r="A25" s="2" t="s">
        <v>61</v>
      </c>
      <c r="B25" s="2" t="s">
        <v>62</v>
      </c>
      <c r="C25" s="8" t="n">
        <v>500</v>
      </c>
      <c r="D25" s="2" t="s">
        <v>63</v>
      </c>
    </row>
    <row r="26" customFormat="false" ht="15" hidden="false" customHeight="false" outlineLevel="0" collapsed="false">
      <c r="A26" s="2" t="s">
        <v>64</v>
      </c>
      <c r="B26" s="2" t="s">
        <v>65</v>
      </c>
      <c r="C26" s="8" t="n">
        <v>1</v>
      </c>
      <c r="D26" s="2" t="s">
        <v>66</v>
      </c>
    </row>
    <row r="29" customFormat="false" ht="15" hidden="false" customHeight="false" outlineLevel="0" collapsed="false">
      <c r="A29" s="3" t="s">
        <v>67</v>
      </c>
    </row>
    <row r="30" customFormat="false" ht="15" hidden="false" customHeight="false" outlineLevel="0" collapsed="false">
      <c r="A30" s="2" t="s">
        <v>68</v>
      </c>
      <c r="B30" s="2" t="s">
        <v>69</v>
      </c>
      <c r="C30" s="9" t="n">
        <v>0.6</v>
      </c>
      <c r="D30" s="2" t="s">
        <v>70</v>
      </c>
    </row>
    <row r="31" customFormat="false" ht="15" hidden="false" customHeight="false" outlineLevel="0" collapsed="false">
      <c r="A31" s="2" t="s">
        <v>71</v>
      </c>
      <c r="B31" s="2"/>
      <c r="C31" s="10" t="n">
        <v>0.3</v>
      </c>
      <c r="D31" s="2" t="s">
        <v>72</v>
      </c>
    </row>
    <row r="32" customFormat="false" ht="15" hidden="false" customHeight="false" outlineLevel="0" collapsed="false">
      <c r="A32" s="2" t="s">
        <v>73</v>
      </c>
      <c r="B32" s="2"/>
      <c r="C32" s="11" t="n">
        <v>0.2</v>
      </c>
      <c r="D32" s="2" t="s">
        <v>74</v>
      </c>
    </row>
    <row r="33" customFormat="false" ht="15" hidden="false" customHeight="false" outlineLevel="0" collapsed="false">
      <c r="A33" s="2" t="s">
        <v>75</v>
      </c>
      <c r="B33" s="2" t="s">
        <v>76</v>
      </c>
      <c r="C33" s="8" t="n">
        <v>20</v>
      </c>
      <c r="D33" s="2" t="s">
        <v>77</v>
      </c>
    </row>
    <row r="34" customFormat="false" ht="15" hidden="false" customHeight="false" outlineLevel="0" collapsed="false">
      <c r="A34" s="2" t="s">
        <v>78</v>
      </c>
      <c r="B34" s="2" t="s">
        <v>79</v>
      </c>
      <c r="C34" s="8" t="n">
        <v>14</v>
      </c>
      <c r="D34" s="2" t="s">
        <v>80</v>
      </c>
    </row>
    <row r="35" customFormat="false" ht="15" hidden="false" customHeight="false" outlineLevel="0" collapsed="false">
      <c r="A35" s="2" t="s">
        <v>81</v>
      </c>
      <c r="B35" s="2" t="s">
        <v>82</v>
      </c>
      <c r="C35" s="12" t="n">
        <v>25</v>
      </c>
      <c r="D35" s="2" t="s">
        <v>83</v>
      </c>
    </row>
    <row r="36" customFormat="false" ht="15" hidden="false" customHeight="false" outlineLevel="0" collapsed="false">
      <c r="A36" s="2" t="s">
        <v>84</v>
      </c>
      <c r="B36" s="2" t="s">
        <v>85</v>
      </c>
      <c r="C36" s="11" t="n">
        <v>0.3</v>
      </c>
      <c r="D36" s="2" t="s">
        <v>86</v>
      </c>
    </row>
    <row r="37" customFormat="false" ht="15" hidden="false" customHeight="false" outlineLevel="0" collapsed="false">
      <c r="A37" s="2" t="s">
        <v>87</v>
      </c>
      <c r="B37" s="2" t="s">
        <v>85</v>
      </c>
      <c r="C37" s="11" t="n">
        <v>0.5</v>
      </c>
      <c r="D37" s="2" t="s">
        <v>83</v>
      </c>
    </row>
    <row r="38" customFormat="false" ht="15" hidden="false" customHeight="false" outlineLevel="0" collapsed="false">
      <c r="A38" s="2" t="s">
        <v>88</v>
      </c>
      <c r="B38" s="2" t="s">
        <v>85</v>
      </c>
      <c r="C38" s="11" t="n">
        <v>0.2</v>
      </c>
      <c r="D38" s="2" t="s">
        <v>83</v>
      </c>
    </row>
    <row r="39" customFormat="false" ht="15" hidden="false" customHeight="false" outlineLevel="0" collapsed="false">
      <c r="A39" s="2" t="s">
        <v>89</v>
      </c>
      <c r="C39" s="13" t="n">
        <f aca="false">C33-C34</f>
        <v>6</v>
      </c>
    </row>
    <row r="41" customFormat="false" ht="15" hidden="false" customHeight="true" outlineLevel="0" collapsed="false">
      <c r="A41" s="14" t="s">
        <v>90</v>
      </c>
      <c r="B41" s="14"/>
      <c r="C41" s="14"/>
      <c r="D41" s="14"/>
    </row>
    <row r="42" customFormat="false" ht="15" hidden="false" customHeight="false" outlineLevel="0" collapsed="false">
      <c r="A42" s="14"/>
      <c r="B42" s="14"/>
      <c r="C42" s="14"/>
      <c r="D42" s="14"/>
    </row>
  </sheetData>
  <mergeCells count="1">
    <mergeCell ref="A41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25" min="4" style="0" width="10.51"/>
    <col collapsed="false" customWidth="true" hidden="false" outlineLevel="0" max="27" min="26" style="0" width="14"/>
    <col collapsed="false" customWidth="true" hidden="false" outlineLevel="0" max="29" min="28" style="0" width="10"/>
    <col collapsed="false" customWidth="true" hidden="false" outlineLevel="0" max="30" min="30" style="0" width="70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4" t="s">
        <v>92</v>
      </c>
    </row>
    <row r="4" customFormat="false" ht="15" hidden="false" customHeight="false" outlineLevel="0" collapsed="false">
      <c r="A4" s="3" t="s">
        <v>93</v>
      </c>
      <c r="D4" s="15" t="n">
        <f aca="false">Assumptions!$C$5</f>
        <v>5500</v>
      </c>
      <c r="E4" s="15" t="n">
        <f aca="false">Assumptions!$C$6</f>
        <v>5500</v>
      </c>
      <c r="F4" s="15" t="n">
        <f aca="false">Assumptions!$C$7</f>
        <v>7500</v>
      </c>
      <c r="G4" s="15" t="n">
        <f aca="false">Assumptions!$C$8</f>
        <v>7500</v>
      </c>
      <c r="H4" s="15" t="n">
        <f aca="false">Assumptions!$C$9</f>
        <v>4500</v>
      </c>
      <c r="I4" s="15" t="n">
        <f aca="false">Assumptions!$C$10</f>
        <v>5500</v>
      </c>
      <c r="J4" s="15" t="n">
        <f aca="false">Assumptions!$C$11</f>
        <v>1500</v>
      </c>
      <c r="K4" s="15" t="n">
        <f aca="false">Assumptions!$C$12</f>
        <v>1500</v>
      </c>
      <c r="L4" s="15" t="n">
        <f aca="false">Assumptions!$C$13</f>
        <v>2000</v>
      </c>
      <c r="M4" s="15" t="n">
        <f aca="false">Assumptions!$C$14</f>
        <v>2000</v>
      </c>
      <c r="N4" s="15" t="n">
        <f aca="false">Assumptions!$C$15</f>
        <v>8000</v>
      </c>
      <c r="O4" s="15" t="n">
        <f aca="false">Assumptions!$C$16</f>
        <v>1000</v>
      </c>
      <c r="P4" s="15" t="n">
        <f aca="false">Assumptions!$C$17</f>
        <v>4000</v>
      </c>
      <c r="Q4" s="15" t="n">
        <f aca="false">Assumptions!$C$18</f>
        <v>5000</v>
      </c>
      <c r="R4" s="15" t="n">
        <f aca="false">Assumptions!$C$19</f>
        <v>6000</v>
      </c>
      <c r="S4" s="15" t="n">
        <f aca="false">Assumptions!$C$20</f>
        <v>3500</v>
      </c>
      <c r="T4" s="15" t="n">
        <f aca="false">Assumptions!$C$21</f>
        <v>2500</v>
      </c>
      <c r="U4" s="15" t="n">
        <f aca="false">Assumptions!$C$22</f>
        <v>1000</v>
      </c>
      <c r="V4" s="15" t="n">
        <f aca="false">Assumptions!$C$23</f>
        <v>1000</v>
      </c>
      <c r="W4" s="15" t="n">
        <f aca="false">Assumptions!$C$24</f>
        <v>800</v>
      </c>
      <c r="X4" s="15" t="n">
        <f aca="false">Assumptions!$C$25</f>
        <v>500</v>
      </c>
      <c r="Y4" s="15" t="n">
        <f aca="false">Assumptions!$C$26</f>
        <v>1</v>
      </c>
    </row>
    <row r="5" customFormat="false" ht="57.75" hidden="false" customHeight="true" outlineLevel="0" collapsed="false">
      <c r="A5" s="16" t="s">
        <v>94</v>
      </c>
      <c r="B5" s="16" t="s">
        <v>95</v>
      </c>
      <c r="C5" s="16" t="s">
        <v>96</v>
      </c>
      <c r="D5" s="16" t="s">
        <v>21</v>
      </c>
      <c r="E5" s="16" t="s">
        <v>24</v>
      </c>
      <c r="F5" s="16" t="s">
        <v>27</v>
      </c>
      <c r="G5" s="16" t="s">
        <v>29</v>
      </c>
      <c r="H5" s="16" t="s">
        <v>30</v>
      </c>
      <c r="I5" s="16" t="s">
        <v>33</v>
      </c>
      <c r="J5" s="16" t="s">
        <v>36</v>
      </c>
      <c r="K5" s="16" t="s">
        <v>38</v>
      </c>
      <c r="L5" s="16" t="s">
        <v>39</v>
      </c>
      <c r="M5" s="16" t="s">
        <v>41</v>
      </c>
      <c r="N5" s="16" t="s">
        <v>43</v>
      </c>
      <c r="O5" s="16" t="s">
        <v>46</v>
      </c>
      <c r="P5" s="16" t="s">
        <v>48</v>
      </c>
      <c r="Q5" s="16" t="s">
        <v>51</v>
      </c>
      <c r="R5" s="16" t="s">
        <v>52</v>
      </c>
      <c r="S5" s="16" t="s">
        <v>54</v>
      </c>
      <c r="T5" s="16" t="s">
        <v>55</v>
      </c>
      <c r="U5" s="16" t="s">
        <v>56</v>
      </c>
      <c r="V5" s="16" t="s">
        <v>57</v>
      </c>
      <c r="W5" s="16" t="s">
        <v>59</v>
      </c>
      <c r="X5" s="16" t="s">
        <v>61</v>
      </c>
      <c r="Y5" s="16" t="s">
        <v>64</v>
      </c>
      <c r="Z5" s="16" t="s">
        <v>97</v>
      </c>
      <c r="AA5" s="16" t="s">
        <v>98</v>
      </c>
      <c r="AB5" s="16" t="s">
        <v>99</v>
      </c>
      <c r="AC5" s="16" t="s">
        <v>100</v>
      </c>
      <c r="AD5" s="16" t="s">
        <v>101</v>
      </c>
    </row>
    <row r="6" customFormat="false" ht="15" hidden="false" customHeight="false" outlineLevel="0" collapsed="false">
      <c r="A6" s="17" t="s">
        <v>102</v>
      </c>
      <c r="B6" s="18" t="s">
        <v>103</v>
      </c>
      <c r="C6" s="8" t="n">
        <v>49999</v>
      </c>
      <c r="D6" s="19" t="n">
        <v>2</v>
      </c>
      <c r="E6" s="19" t="n">
        <v>2</v>
      </c>
      <c r="F6" s="19"/>
      <c r="G6" s="19"/>
      <c r="H6" s="19"/>
      <c r="I6" s="19"/>
      <c r="J6" s="19" t="n">
        <v>2</v>
      </c>
      <c r="K6" s="19"/>
      <c r="L6" s="19" t="n">
        <v>2</v>
      </c>
      <c r="M6" s="19" t="n">
        <v>1</v>
      </c>
      <c r="N6" s="19"/>
      <c r="O6" s="19"/>
      <c r="P6" s="19" t="n">
        <v>1</v>
      </c>
      <c r="Q6" s="19"/>
      <c r="R6" s="19"/>
      <c r="S6" s="19"/>
      <c r="T6" s="19"/>
      <c r="U6" s="19"/>
      <c r="V6" s="19" t="n">
        <v>1</v>
      </c>
      <c r="W6" s="19" t="n">
        <v>1</v>
      </c>
      <c r="X6" s="19" t="n">
        <v>4</v>
      </c>
      <c r="Y6" s="19"/>
      <c r="Z6" s="20" t="n">
        <f aca="false">SUMPRODUCT($D$4:$Y$4,D6:Y6)</f>
        <v>38800</v>
      </c>
      <c r="AA6" s="20" t="n">
        <f aca="false">C6-Z6</f>
        <v>11199</v>
      </c>
      <c r="AB6" s="21" t="n">
        <f aca="false">IFERROR(AA6/C6,0)</f>
        <v>0.223984479689594</v>
      </c>
      <c r="AC6" s="17" t="str">
        <f aca="false">IF(AB6&gt;=Assumptions!$C$31,"OK",IF(AB6&gt;=Assumptions!$C$32,"Thin","Reprice"))</f>
        <v>Thin</v>
      </c>
      <c r="AD6" s="17" t="s">
        <v>104</v>
      </c>
    </row>
    <row r="7" customFormat="false" ht="15" hidden="false" customHeight="false" outlineLevel="0" collapsed="false">
      <c r="A7" s="17" t="s">
        <v>102</v>
      </c>
      <c r="B7" s="18" t="s">
        <v>105</v>
      </c>
      <c r="C7" s="8" t="n">
        <v>84999</v>
      </c>
      <c r="D7" s="19" t="n">
        <v>2</v>
      </c>
      <c r="E7" s="19" t="n">
        <v>2</v>
      </c>
      <c r="F7" s="19" t="n">
        <v>2</v>
      </c>
      <c r="G7" s="19"/>
      <c r="H7" s="19"/>
      <c r="I7" s="19"/>
      <c r="J7" s="19" t="n">
        <v>2</v>
      </c>
      <c r="K7" s="19" t="n">
        <v>2</v>
      </c>
      <c r="L7" s="19" t="n">
        <v>2</v>
      </c>
      <c r="M7" s="19" t="n">
        <v>1</v>
      </c>
      <c r="N7" s="19"/>
      <c r="O7" s="19"/>
      <c r="P7" s="19"/>
      <c r="Q7" s="19" t="n">
        <v>1</v>
      </c>
      <c r="R7" s="19"/>
      <c r="S7" s="19"/>
      <c r="T7" s="19"/>
      <c r="U7" s="19"/>
      <c r="V7" s="19" t="n">
        <v>1</v>
      </c>
      <c r="W7" s="19" t="n">
        <v>1</v>
      </c>
      <c r="X7" s="19" t="n">
        <v>6</v>
      </c>
      <c r="Y7" s="19"/>
      <c r="Z7" s="20" t="n">
        <f aca="false">SUMPRODUCT($D$4:$Y$4,D7:Y7)</f>
        <v>58800</v>
      </c>
      <c r="AA7" s="20" t="n">
        <f aca="false">C7-Z7</f>
        <v>26199</v>
      </c>
      <c r="AB7" s="21" t="n">
        <f aca="false">IFERROR(AA7/C7,0)</f>
        <v>0.308227155613595</v>
      </c>
      <c r="AC7" s="17" t="str">
        <f aca="false">IF(AB7&gt;=Assumptions!$C$31,"OK",IF(AB7&gt;=Assumptions!$C$32,"Thin","Reprice"))</f>
        <v>OK</v>
      </c>
      <c r="AD7" s="17" t="s">
        <v>106</v>
      </c>
    </row>
    <row r="8" customFormat="false" ht="15" hidden="false" customHeight="false" outlineLevel="0" collapsed="false">
      <c r="A8" s="17" t="s">
        <v>102</v>
      </c>
      <c r="B8" s="18" t="s">
        <v>107</v>
      </c>
      <c r="C8" s="8" t="n">
        <v>124999</v>
      </c>
      <c r="D8" s="19" t="n">
        <v>2</v>
      </c>
      <c r="E8" s="19" t="n">
        <v>2</v>
      </c>
      <c r="F8" s="19" t="n">
        <v>2</v>
      </c>
      <c r="G8" s="19" t="n">
        <v>2</v>
      </c>
      <c r="H8" s="19"/>
      <c r="I8" s="19"/>
      <c r="J8" s="19" t="n">
        <v>2</v>
      </c>
      <c r="K8" s="19" t="n">
        <v>2</v>
      </c>
      <c r="L8" s="19" t="n">
        <v>2</v>
      </c>
      <c r="M8" s="19"/>
      <c r="N8" s="19" t="n">
        <v>1</v>
      </c>
      <c r="O8" s="19" t="n">
        <v>2</v>
      </c>
      <c r="P8" s="19"/>
      <c r="Q8" s="19" t="n">
        <v>1</v>
      </c>
      <c r="R8" s="19"/>
      <c r="S8" s="19"/>
      <c r="T8" s="19"/>
      <c r="U8" s="19" t="n">
        <v>2</v>
      </c>
      <c r="V8" s="19" t="n">
        <v>3</v>
      </c>
      <c r="W8" s="19" t="n">
        <v>1</v>
      </c>
      <c r="X8" s="19" t="n">
        <v>8</v>
      </c>
      <c r="Y8" s="19"/>
      <c r="Z8" s="20" t="n">
        <f aca="false">SUMPRODUCT($D$4:$Y$4,D8:Y8)</f>
        <v>86800</v>
      </c>
      <c r="AA8" s="20" t="n">
        <f aca="false">C8-Z8</f>
        <v>38199</v>
      </c>
      <c r="AB8" s="21" t="n">
        <f aca="false">IFERROR(AA8/C8,0)</f>
        <v>0.305594444755558</v>
      </c>
      <c r="AC8" s="17" t="str">
        <f aca="false">IF(AB8&gt;=Assumptions!$C$31,"OK",IF(AB8&gt;=Assumptions!$C$32,"Thin","Reprice"))</f>
        <v>OK</v>
      </c>
      <c r="AD8" s="17" t="s">
        <v>108</v>
      </c>
    </row>
    <row r="9" customFormat="false" ht="15" hidden="false" customHeight="false" outlineLevel="0" collapsed="false">
      <c r="A9" s="17" t="s">
        <v>102</v>
      </c>
      <c r="B9" s="18" t="s">
        <v>109</v>
      </c>
      <c r="C9" s="8" t="n">
        <v>149999</v>
      </c>
      <c r="D9" s="19" t="n">
        <v>2</v>
      </c>
      <c r="E9" s="19" t="n">
        <v>2</v>
      </c>
      <c r="F9" s="19" t="n">
        <v>2</v>
      </c>
      <c r="G9" s="19" t="n">
        <v>2</v>
      </c>
      <c r="H9" s="19" t="n">
        <v>2</v>
      </c>
      <c r="I9" s="19" t="n">
        <v>1</v>
      </c>
      <c r="J9" s="19" t="n">
        <v>2</v>
      </c>
      <c r="K9" s="19" t="n">
        <v>3</v>
      </c>
      <c r="L9" s="19" t="n">
        <v>2</v>
      </c>
      <c r="M9" s="19"/>
      <c r="N9" s="19" t="n">
        <v>1.25</v>
      </c>
      <c r="O9" s="19" t="n">
        <v>3</v>
      </c>
      <c r="P9" s="19"/>
      <c r="Q9" s="19"/>
      <c r="R9" s="19" t="n">
        <v>1</v>
      </c>
      <c r="S9" s="19" t="n">
        <v>1</v>
      </c>
      <c r="T9" s="19"/>
      <c r="U9" s="19"/>
      <c r="V9" s="19" t="n">
        <v>2</v>
      </c>
      <c r="W9" s="19" t="n">
        <v>1</v>
      </c>
      <c r="X9" s="19" t="n">
        <v>11</v>
      </c>
      <c r="Y9" s="19"/>
      <c r="Z9" s="20" t="n">
        <f aca="false">SUMPRODUCT($D$4:$Y$4,D9:Y9)</f>
        <v>108800</v>
      </c>
      <c r="AA9" s="20" t="n">
        <f aca="false">C9-Z9</f>
        <v>41199</v>
      </c>
      <c r="AB9" s="21" t="n">
        <f aca="false">IFERROR(AA9/C9,0)</f>
        <v>0.274661831078874</v>
      </c>
      <c r="AC9" s="17" t="str">
        <f aca="false">IF(AB9&gt;=Assumptions!$C$31,"OK",IF(AB9&gt;=Assumptions!$C$32,"Thin","Reprice"))</f>
        <v>Thin</v>
      </c>
      <c r="AD9" s="17" t="s">
        <v>110</v>
      </c>
    </row>
    <row r="10" customFormat="false" ht="15" hidden="false" customHeight="false" outlineLevel="0" collapsed="false">
      <c r="A10" s="2" t="s">
        <v>111</v>
      </c>
      <c r="B10" s="2" t="s">
        <v>112</v>
      </c>
      <c r="C10" s="8" t="n">
        <v>23499</v>
      </c>
      <c r="D10" s="22" t="n">
        <v>1</v>
      </c>
      <c r="E10" s="22" t="n">
        <v>1</v>
      </c>
      <c r="F10" s="22"/>
      <c r="G10" s="22"/>
      <c r="H10" s="22"/>
      <c r="I10" s="22"/>
      <c r="J10" s="22" t="n">
        <v>1</v>
      </c>
      <c r="K10" s="22"/>
      <c r="L10" s="22" t="n">
        <v>1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 t="n">
        <v>2</v>
      </c>
      <c r="Y10" s="22" t="n">
        <v>600</v>
      </c>
      <c r="Z10" s="7" t="n">
        <f aca="false">SUMPRODUCT($D$4:$Y$4,D10:Y10)</f>
        <v>16100</v>
      </c>
      <c r="AA10" s="7" t="n">
        <f aca="false">C10-Z10</f>
        <v>7399</v>
      </c>
      <c r="AB10" s="23" t="n">
        <f aca="false">IFERROR(AA10/C10,0)</f>
        <v>0.314864462317545</v>
      </c>
      <c r="AC10" s="2" t="str">
        <f aca="false">IF(AB10&gt;=Assumptions!$C$31,"OK",IF(AB10&gt;=Assumptions!$C$32,"Thin","Reprice"))</f>
        <v>OK</v>
      </c>
      <c r="AD10" s="2" t="s">
        <v>113</v>
      </c>
    </row>
    <row r="11" customFormat="false" ht="15" hidden="false" customHeight="false" outlineLevel="0" collapsed="false">
      <c r="A11" s="2" t="s">
        <v>111</v>
      </c>
      <c r="B11" s="2" t="s">
        <v>114</v>
      </c>
      <c r="C11" s="8" t="n">
        <v>36999</v>
      </c>
      <c r="D11" s="22" t="n">
        <v>1</v>
      </c>
      <c r="E11" s="22" t="n">
        <v>1</v>
      </c>
      <c r="F11" s="22" t="n">
        <v>1</v>
      </c>
      <c r="G11" s="22"/>
      <c r="H11" s="22"/>
      <c r="I11" s="22"/>
      <c r="J11" s="22" t="n">
        <v>1</v>
      </c>
      <c r="K11" s="22" t="n">
        <v>1</v>
      </c>
      <c r="L11" s="22" t="n">
        <v>1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 t="n">
        <v>3</v>
      </c>
      <c r="Y11" s="22" t="n">
        <v>600</v>
      </c>
      <c r="Z11" s="7" t="n">
        <f aca="false">SUMPRODUCT($D$4:$Y$4,D11:Y11)</f>
        <v>25600</v>
      </c>
      <c r="AA11" s="7" t="n">
        <f aca="false">C11-Z11</f>
        <v>11399</v>
      </c>
      <c r="AB11" s="23" t="n">
        <f aca="false">IFERROR(AA11/C11,0)</f>
        <v>0.308089407821833</v>
      </c>
      <c r="AC11" s="2" t="str">
        <f aca="false">IF(AB11&gt;=Assumptions!$C$31,"OK",IF(AB11&gt;=Assumptions!$C$32,"Thin","Reprice"))</f>
        <v>OK</v>
      </c>
      <c r="AD11" s="2"/>
    </row>
    <row r="12" customFormat="false" ht="15" hidden="false" customHeight="false" outlineLevel="0" collapsed="false">
      <c r="A12" s="2" t="s">
        <v>111</v>
      </c>
      <c r="B12" s="2" t="s">
        <v>115</v>
      </c>
      <c r="C12" s="8" t="n">
        <v>51999</v>
      </c>
      <c r="D12" s="22" t="n">
        <v>1</v>
      </c>
      <c r="E12" s="22" t="n">
        <v>1</v>
      </c>
      <c r="F12" s="22" t="n">
        <v>1</v>
      </c>
      <c r="G12" s="22" t="n">
        <v>1</v>
      </c>
      <c r="H12" s="22"/>
      <c r="I12" s="22"/>
      <c r="J12" s="22" t="n">
        <v>1</v>
      </c>
      <c r="K12" s="22" t="n">
        <v>1</v>
      </c>
      <c r="L12" s="22" t="n">
        <v>1</v>
      </c>
      <c r="M12" s="22"/>
      <c r="N12" s="22" t="n">
        <v>0.25</v>
      </c>
      <c r="O12" s="22"/>
      <c r="P12" s="22"/>
      <c r="Q12" s="22"/>
      <c r="R12" s="22"/>
      <c r="S12" s="22"/>
      <c r="T12" s="22"/>
      <c r="U12" s="22"/>
      <c r="V12" s="22"/>
      <c r="W12" s="22"/>
      <c r="X12" s="22" t="n">
        <v>4</v>
      </c>
      <c r="Y12" s="22" t="n">
        <v>600</v>
      </c>
      <c r="Z12" s="7" t="n">
        <f aca="false">SUMPRODUCT($D$4:$Y$4,D12:Y12)</f>
        <v>35600</v>
      </c>
      <c r="AA12" s="7" t="n">
        <f aca="false">C12-Z12</f>
        <v>16399</v>
      </c>
      <c r="AB12" s="23" t="n">
        <f aca="false">IFERROR(AA12/C12,0)</f>
        <v>0.315371449450951</v>
      </c>
      <c r="AC12" s="2" t="str">
        <f aca="false">IF(AB12&gt;=Assumptions!$C$31,"OK",IF(AB12&gt;=Assumptions!$C$32,"Thin","Reprice"))</f>
        <v>OK</v>
      </c>
      <c r="AD12" s="2"/>
    </row>
    <row r="13" customFormat="false" ht="15" hidden="false" customHeight="false" outlineLevel="0" collapsed="false">
      <c r="A13" s="2" t="s">
        <v>116</v>
      </c>
      <c r="B13" s="2" t="s">
        <v>117</v>
      </c>
      <c r="C13" s="8" t="n">
        <v>34999</v>
      </c>
      <c r="D13" s="22"/>
      <c r="E13" s="22"/>
      <c r="F13" s="22" t="n">
        <v>1</v>
      </c>
      <c r="G13" s="22" t="n">
        <v>1</v>
      </c>
      <c r="H13" s="22"/>
      <c r="I13" s="22"/>
      <c r="J13" s="22"/>
      <c r="K13" s="22" t="n">
        <v>1</v>
      </c>
      <c r="L13" s="22"/>
      <c r="M13" s="22"/>
      <c r="N13" s="22" t="n">
        <v>0.625</v>
      </c>
      <c r="O13" s="22"/>
      <c r="P13" s="22"/>
      <c r="Q13" s="22"/>
      <c r="R13" s="22"/>
      <c r="S13" s="22"/>
      <c r="T13" s="22"/>
      <c r="U13" s="22"/>
      <c r="V13" s="22"/>
      <c r="W13" s="22"/>
      <c r="X13" s="22" t="n">
        <v>2</v>
      </c>
      <c r="Y13" s="22" t="n">
        <v>500</v>
      </c>
      <c r="Z13" s="7" t="n">
        <f aca="false">SUMPRODUCT($D$4:$Y$4,D13:Y13)</f>
        <v>23000</v>
      </c>
      <c r="AA13" s="7" t="n">
        <f aca="false">C13-Z13</f>
        <v>11999</v>
      </c>
      <c r="AB13" s="23" t="n">
        <f aca="false">IFERROR(AA13/C13,0)</f>
        <v>0.34283836681048</v>
      </c>
      <c r="AC13" s="2" t="str">
        <f aca="false">IF(AB13&gt;=Assumptions!$C$31,"OK",IF(AB13&gt;=Assumptions!$C$32,"Thin","Reprice"))</f>
        <v>OK</v>
      </c>
      <c r="AD13" s="2" t="s">
        <v>118</v>
      </c>
    </row>
    <row r="14" customFormat="false" ht="15" hidden="false" customHeight="false" outlineLevel="0" collapsed="false">
      <c r="A14" s="2" t="s">
        <v>119</v>
      </c>
      <c r="B14" s="3" t="s">
        <v>120</v>
      </c>
      <c r="C14" s="8" t="n">
        <v>16999</v>
      </c>
      <c r="D14" s="22" t="n">
        <v>1</v>
      </c>
      <c r="E14" s="22"/>
      <c r="F14" s="22"/>
      <c r="G14" s="22"/>
      <c r="H14" s="22"/>
      <c r="I14" s="22"/>
      <c r="J14" s="22" t="n">
        <v>1</v>
      </c>
      <c r="K14" s="22"/>
      <c r="L14" s="22"/>
      <c r="M14" s="22"/>
      <c r="N14" s="22"/>
      <c r="O14" s="22"/>
      <c r="P14" s="22"/>
      <c r="Q14" s="22"/>
      <c r="R14" s="22"/>
      <c r="S14" s="22"/>
      <c r="T14" s="22" t="n">
        <v>1</v>
      </c>
      <c r="U14" s="22"/>
      <c r="V14" s="22" t="n">
        <v>1</v>
      </c>
      <c r="W14" s="22" t="n">
        <v>1</v>
      </c>
      <c r="X14" s="22" t="n">
        <v>1</v>
      </c>
      <c r="Y14" s="22"/>
      <c r="Z14" s="7" t="n">
        <f aca="false">SUMPRODUCT($D$4:$Y$4,D14:Y14)</f>
        <v>11800</v>
      </c>
      <c r="AA14" s="7" t="n">
        <f aca="false">C14-Z14</f>
        <v>5199</v>
      </c>
      <c r="AB14" s="23" t="n">
        <f aca="false">IFERROR(AA14/C14,0)</f>
        <v>0.305841520089417</v>
      </c>
      <c r="AC14" s="2" t="str">
        <f aca="false">IF(AB14&gt;=Assumptions!$C$31,"OK",IF(AB14&gt;=Assumptions!$C$32,"Thin","Reprice"))</f>
        <v>OK</v>
      </c>
      <c r="AD14" s="2" t="s">
        <v>121</v>
      </c>
    </row>
    <row r="15" customFormat="false" ht="15" hidden="false" customHeight="false" outlineLevel="0" collapsed="false">
      <c r="A15" s="2" t="s">
        <v>119</v>
      </c>
      <c r="B15" s="3" t="s">
        <v>103</v>
      </c>
      <c r="C15" s="8" t="n">
        <v>31999</v>
      </c>
      <c r="D15" s="22" t="n">
        <v>1</v>
      </c>
      <c r="E15" s="22" t="n">
        <v>1</v>
      </c>
      <c r="F15" s="22"/>
      <c r="G15" s="22"/>
      <c r="H15" s="22"/>
      <c r="I15" s="22"/>
      <c r="J15" s="22" t="n">
        <v>1</v>
      </c>
      <c r="K15" s="22"/>
      <c r="L15" s="22" t="n">
        <v>1</v>
      </c>
      <c r="M15" s="22" t="n">
        <v>1</v>
      </c>
      <c r="N15" s="22"/>
      <c r="O15" s="22"/>
      <c r="P15" s="22"/>
      <c r="Q15" s="22"/>
      <c r="R15" s="22"/>
      <c r="S15" s="22"/>
      <c r="T15" s="22" t="n">
        <v>1</v>
      </c>
      <c r="U15" s="22"/>
      <c r="V15" s="22" t="n">
        <v>1</v>
      </c>
      <c r="W15" s="22" t="n">
        <v>1</v>
      </c>
      <c r="X15" s="22" t="n">
        <v>2</v>
      </c>
      <c r="Y15" s="22"/>
      <c r="Z15" s="7" t="n">
        <f aca="false">SUMPRODUCT($D$4:$Y$4,D15:Y15)</f>
        <v>21800</v>
      </c>
      <c r="AA15" s="7" t="n">
        <f aca="false">C15-Z15</f>
        <v>10199</v>
      </c>
      <c r="AB15" s="23" t="n">
        <f aca="false">IFERROR(AA15/C15,0)</f>
        <v>0.318728710272196</v>
      </c>
      <c r="AC15" s="2" t="str">
        <f aca="false">IF(AB15&gt;=Assumptions!$C$31,"OK",IF(AB15&gt;=Assumptions!$C$32,"Thin","Reprice"))</f>
        <v>OK</v>
      </c>
      <c r="AD15" s="2" t="s">
        <v>122</v>
      </c>
    </row>
    <row r="16" customFormat="false" ht="15" hidden="false" customHeight="false" outlineLevel="0" collapsed="false">
      <c r="A16" s="2" t="s">
        <v>119</v>
      </c>
      <c r="B16" s="3" t="s">
        <v>123</v>
      </c>
      <c r="C16" s="8" t="n">
        <v>47999</v>
      </c>
      <c r="D16" s="22" t="n">
        <v>1</v>
      </c>
      <c r="E16" s="22" t="n">
        <v>1</v>
      </c>
      <c r="F16" s="22" t="n">
        <v>1</v>
      </c>
      <c r="G16" s="22"/>
      <c r="H16" s="22"/>
      <c r="I16" s="22"/>
      <c r="J16" s="22" t="n">
        <v>1</v>
      </c>
      <c r="K16" s="22" t="n">
        <v>1</v>
      </c>
      <c r="L16" s="22" t="n">
        <v>1</v>
      </c>
      <c r="M16" s="22" t="n">
        <v>1</v>
      </c>
      <c r="N16" s="22"/>
      <c r="O16" s="22" t="n">
        <v>1</v>
      </c>
      <c r="P16" s="22"/>
      <c r="Q16" s="22"/>
      <c r="R16" s="22"/>
      <c r="S16" s="22" t="n">
        <v>1</v>
      </c>
      <c r="T16" s="22"/>
      <c r="U16" s="22"/>
      <c r="V16" s="22" t="n">
        <v>1</v>
      </c>
      <c r="W16" s="22" t="n">
        <v>1</v>
      </c>
      <c r="X16" s="22" t="n">
        <v>3</v>
      </c>
      <c r="Y16" s="22"/>
      <c r="Z16" s="7" t="n">
        <f aca="false">SUMPRODUCT($D$4:$Y$4,D16:Y16)</f>
        <v>33300</v>
      </c>
      <c r="AA16" s="7" t="n">
        <f aca="false">C16-Z16</f>
        <v>14699</v>
      </c>
      <c r="AB16" s="23" t="n">
        <f aca="false">IFERROR(AA16/C16,0)</f>
        <v>0.306235546573887</v>
      </c>
      <c r="AC16" s="2" t="str">
        <f aca="false">IF(AB16&gt;=Assumptions!$C$31,"OK",IF(AB16&gt;=Assumptions!$C$32,"Thin","Reprice"))</f>
        <v>OK</v>
      </c>
      <c r="AD16" s="2" t="s">
        <v>124</v>
      </c>
    </row>
    <row r="17" customFormat="false" ht="15" hidden="false" customHeight="false" outlineLevel="0" collapsed="false">
      <c r="A17" s="2" t="s">
        <v>125</v>
      </c>
      <c r="B17" s="2" t="s">
        <v>126</v>
      </c>
      <c r="C17" s="8" t="n">
        <v>12999</v>
      </c>
      <c r="D17" s="22"/>
      <c r="E17" s="22"/>
      <c r="F17" s="22"/>
      <c r="G17" s="22"/>
      <c r="H17" s="22" t="n">
        <v>1</v>
      </c>
      <c r="I17" s="22"/>
      <c r="J17" s="22"/>
      <c r="K17" s="22" t="n">
        <v>1</v>
      </c>
      <c r="L17" s="22"/>
      <c r="M17" s="22"/>
      <c r="N17" s="22"/>
      <c r="O17" s="22"/>
      <c r="P17" s="22"/>
      <c r="Q17" s="22"/>
      <c r="R17" s="22"/>
      <c r="S17" s="22"/>
      <c r="T17" s="22"/>
      <c r="U17" s="22" t="n">
        <v>1</v>
      </c>
      <c r="V17" s="22"/>
      <c r="W17" s="22" t="n">
        <v>0.5</v>
      </c>
      <c r="X17" s="22" t="n">
        <v>1</v>
      </c>
      <c r="Y17" s="22"/>
      <c r="Z17" s="7" t="n">
        <f aca="false">SUMPRODUCT($D$4:$Y$4,D17:Y17)</f>
        <v>7900</v>
      </c>
      <c r="AA17" s="7" t="n">
        <f aca="false">C17-Z17</f>
        <v>5099</v>
      </c>
      <c r="AB17" s="23" t="n">
        <f aca="false">IFERROR(AA17/C17,0)</f>
        <v>0.392260943149473</v>
      </c>
      <c r="AC17" s="2" t="str">
        <f aca="false">IF(AB17&gt;=Assumptions!$C$31,"OK",IF(AB17&gt;=Assumptions!$C$32,"Thin","Reprice"))</f>
        <v>OK</v>
      </c>
      <c r="AD17" s="2" t="s">
        <v>127</v>
      </c>
    </row>
    <row r="18" customFormat="false" ht="15" hidden="false" customHeight="false" outlineLevel="0" collapsed="false">
      <c r="A18" s="2" t="s">
        <v>125</v>
      </c>
      <c r="B18" s="2" t="s">
        <v>128</v>
      </c>
      <c r="C18" s="8" t="n">
        <v>24999</v>
      </c>
      <c r="D18" s="22"/>
      <c r="E18" s="22"/>
      <c r="F18" s="22"/>
      <c r="G18" s="22"/>
      <c r="H18" s="22" t="n">
        <v>2</v>
      </c>
      <c r="I18" s="22"/>
      <c r="J18" s="22"/>
      <c r="K18" s="22" t="n">
        <v>1</v>
      </c>
      <c r="L18" s="22"/>
      <c r="M18" s="22" t="n">
        <v>1</v>
      </c>
      <c r="N18" s="22"/>
      <c r="O18" s="22" t="n">
        <v>1</v>
      </c>
      <c r="P18" s="22"/>
      <c r="Q18" s="22"/>
      <c r="R18" s="22"/>
      <c r="S18" s="22"/>
      <c r="T18" s="22"/>
      <c r="U18" s="22" t="n">
        <v>1</v>
      </c>
      <c r="V18" s="22"/>
      <c r="W18" s="22" t="n">
        <v>0.5</v>
      </c>
      <c r="X18" s="22" t="n">
        <v>2</v>
      </c>
      <c r="Y18" s="22"/>
      <c r="Z18" s="7" t="n">
        <f aca="false">SUMPRODUCT($D$4:$Y$4,D18:Y18)</f>
        <v>15900</v>
      </c>
      <c r="AA18" s="7" t="n">
        <f aca="false">C18-Z18</f>
        <v>9099</v>
      </c>
      <c r="AB18" s="23" t="n">
        <f aca="false">IFERROR(AA18/C18,0)</f>
        <v>0.363974558982359</v>
      </c>
      <c r="AC18" s="2" t="str">
        <f aca="false">IF(AB18&gt;=Assumptions!$C$31,"OK",IF(AB18&gt;=Assumptions!$C$32,"Thin","Reprice"))</f>
        <v>OK</v>
      </c>
      <c r="AD18" s="2" t="s">
        <v>129</v>
      </c>
    </row>
    <row r="19" customFormat="false" ht="15" hidden="false" customHeight="false" outlineLevel="0" collapsed="false">
      <c r="A19" s="2" t="s">
        <v>130</v>
      </c>
      <c r="B19" s="2" t="s">
        <v>131</v>
      </c>
      <c r="C19" s="8" t="n">
        <v>14999</v>
      </c>
      <c r="D19" s="22"/>
      <c r="E19" s="22"/>
      <c r="F19" s="22"/>
      <c r="G19" s="22"/>
      <c r="H19" s="22" t="n">
        <v>1</v>
      </c>
      <c r="I19" s="22"/>
      <c r="J19" s="22"/>
      <c r="K19" s="22" t="n">
        <v>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 t="n">
        <v>0.5</v>
      </c>
      <c r="X19" s="22" t="n">
        <v>1</v>
      </c>
      <c r="Y19" s="22"/>
      <c r="Z19" s="7" t="n">
        <f aca="false">SUMPRODUCT($D$4:$Y$4,D19:Y19)</f>
        <v>6900</v>
      </c>
      <c r="AA19" s="7" t="n">
        <f aca="false">C19-Z19</f>
        <v>8099</v>
      </c>
      <c r="AB19" s="23" t="n">
        <f aca="false">IFERROR(AA19/C19,0)</f>
        <v>0.539969331288753</v>
      </c>
      <c r="AC19" s="2" t="str">
        <f aca="false">IF(AB19&gt;=Assumptions!$C$31,"OK",IF(AB19&gt;=Assumptions!$C$32,"Thin","Reprice"))</f>
        <v>OK</v>
      </c>
      <c r="AD19" s="2" t="s">
        <v>132</v>
      </c>
    </row>
    <row r="20" customFormat="false" ht="15" hidden="false" customHeight="false" outlineLevel="0" collapsed="false">
      <c r="A20" s="2" t="s">
        <v>130</v>
      </c>
      <c r="B20" s="2" t="s">
        <v>133</v>
      </c>
      <c r="C20" s="8" t="n">
        <v>24999</v>
      </c>
      <c r="D20" s="22"/>
      <c r="E20" s="22"/>
      <c r="F20" s="22" t="n">
        <v>1</v>
      </c>
      <c r="G20" s="22"/>
      <c r="H20" s="22"/>
      <c r="I20" s="22"/>
      <c r="J20" s="22"/>
      <c r="K20" s="22" t="n">
        <v>2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 t="n">
        <v>0.5</v>
      </c>
      <c r="X20" s="22" t="n">
        <v>1</v>
      </c>
      <c r="Y20" s="22"/>
      <c r="Z20" s="7" t="n">
        <f aca="false">SUMPRODUCT($D$4:$Y$4,D20:Y20)</f>
        <v>11400</v>
      </c>
      <c r="AA20" s="7" t="n">
        <f aca="false">C20-Z20</f>
        <v>13599</v>
      </c>
      <c r="AB20" s="23" t="n">
        <f aca="false">IFERROR(AA20/C20,0)</f>
        <v>0.543981759270371</v>
      </c>
      <c r="AC20" s="2" t="str">
        <f aca="false">IF(AB20&gt;=Assumptions!$C$31,"OK",IF(AB20&gt;=Assumptions!$C$32,"Thin","Reprice"))</f>
        <v>OK</v>
      </c>
      <c r="AD20" s="2" t="s">
        <v>134</v>
      </c>
    </row>
    <row r="21" customFormat="false" ht="15" hidden="false" customHeight="false" outlineLevel="0" collapsed="false">
      <c r="A21" s="2" t="s">
        <v>130</v>
      </c>
      <c r="B21" s="2" t="s">
        <v>135</v>
      </c>
      <c r="C21" s="8" t="n">
        <v>49999</v>
      </c>
      <c r="D21" s="22"/>
      <c r="E21" s="22"/>
      <c r="F21" s="22" t="n">
        <v>1</v>
      </c>
      <c r="G21" s="22" t="n">
        <v>1</v>
      </c>
      <c r="H21" s="22"/>
      <c r="I21" s="22"/>
      <c r="J21" s="22"/>
      <c r="K21" s="22" t="n">
        <v>2</v>
      </c>
      <c r="L21" s="22"/>
      <c r="M21" s="22" t="n">
        <v>1</v>
      </c>
      <c r="N21" s="22"/>
      <c r="O21" s="22" t="n">
        <v>2</v>
      </c>
      <c r="P21" s="22"/>
      <c r="Q21" s="22"/>
      <c r="R21" s="22"/>
      <c r="S21" s="22"/>
      <c r="T21" s="22"/>
      <c r="U21" s="22"/>
      <c r="V21" s="22"/>
      <c r="W21" s="22" t="n">
        <v>1</v>
      </c>
      <c r="X21" s="22" t="n">
        <v>2</v>
      </c>
      <c r="Y21" s="22" t="n">
        <v>4000</v>
      </c>
      <c r="Z21" s="7" t="n">
        <f aca="false">SUMPRODUCT($D$4:$Y$4,D21:Y21)</f>
        <v>27800</v>
      </c>
      <c r="AA21" s="7" t="n">
        <f aca="false">C21-Z21</f>
        <v>22199</v>
      </c>
      <c r="AB21" s="23" t="n">
        <f aca="false">IFERROR(AA21/C21,0)</f>
        <v>0.443988879777596</v>
      </c>
      <c r="AC21" s="2" t="str">
        <f aca="false">IF(AB21&gt;=Assumptions!$C$31,"OK",IF(AB21&gt;=Assumptions!$C$32,"Thin","Reprice"))</f>
        <v>OK</v>
      </c>
      <c r="AD21" s="2" t="s">
        <v>136</v>
      </c>
    </row>
    <row r="22" customFormat="false" ht="15" hidden="false" customHeight="false" outlineLevel="0" collapsed="false">
      <c r="A22" s="2" t="s">
        <v>137</v>
      </c>
      <c r="B22" s="2" t="s">
        <v>138</v>
      </c>
      <c r="C22" s="8" t="n">
        <v>9999</v>
      </c>
      <c r="D22" s="22"/>
      <c r="E22" s="22"/>
      <c r="F22" s="22"/>
      <c r="G22" s="22"/>
      <c r="H22" s="22"/>
      <c r="I22" s="22" t="n">
        <v>1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 t="n">
        <v>1</v>
      </c>
      <c r="Y22" s="22"/>
      <c r="Z22" s="7" t="n">
        <f aca="false">SUMPRODUCT($D$4:$Y$4,D22:Y22)</f>
        <v>6000</v>
      </c>
      <c r="AA22" s="7" t="n">
        <f aca="false">C22-Z22</f>
        <v>3999</v>
      </c>
      <c r="AB22" s="23" t="n">
        <f aca="false">IFERROR(AA22/C22,0)</f>
        <v>0.3999399939994</v>
      </c>
      <c r="AC22" s="2" t="str">
        <f aca="false">IF(AB22&gt;=Assumptions!$C$31,"OK",IF(AB22&gt;=Assumptions!$C$32,"Thin","Reprice"))</f>
        <v>OK</v>
      </c>
      <c r="AD22" s="2" t="s">
        <v>139</v>
      </c>
    </row>
    <row r="23" customFormat="false" ht="15" hidden="false" customHeight="false" outlineLevel="0" collapsed="false">
      <c r="A23" s="2" t="s">
        <v>137</v>
      </c>
      <c r="B23" s="2" t="s">
        <v>140</v>
      </c>
      <c r="C23" s="8" t="n">
        <v>13999</v>
      </c>
      <c r="D23" s="22"/>
      <c r="E23" s="22"/>
      <c r="F23" s="22" t="n">
        <v>1</v>
      </c>
      <c r="G23" s="22"/>
      <c r="H23" s="22"/>
      <c r="I23" s="22"/>
      <c r="J23" s="22"/>
      <c r="K23" s="22" t="n">
        <v>1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 t="n">
        <v>1</v>
      </c>
      <c r="Y23" s="22"/>
      <c r="Z23" s="7" t="n">
        <f aca="false">SUMPRODUCT($D$4:$Y$4,D23:Y23)</f>
        <v>9500</v>
      </c>
      <c r="AA23" s="7" t="n">
        <f aca="false">C23-Z23</f>
        <v>4499</v>
      </c>
      <c r="AB23" s="23" t="n">
        <f aca="false">IFERROR(AA23/C23,0)</f>
        <v>0.32138009857847</v>
      </c>
      <c r="AC23" s="2" t="str">
        <f aca="false">IF(AB23&gt;=Assumptions!$C$31,"OK",IF(AB23&gt;=Assumptions!$C$32,"Thin","Reprice"))</f>
        <v>OK</v>
      </c>
      <c r="AD23" s="2"/>
    </row>
    <row r="24" customFormat="false" ht="15" hidden="false" customHeight="false" outlineLevel="0" collapsed="false">
      <c r="A24" s="2" t="s">
        <v>137</v>
      </c>
      <c r="B24" s="2" t="s">
        <v>141</v>
      </c>
      <c r="C24" s="8" t="n">
        <v>14999</v>
      </c>
      <c r="D24" s="22"/>
      <c r="E24" s="22"/>
      <c r="F24" s="22"/>
      <c r="G24" s="22" t="n">
        <v>1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 t="n">
        <v>1</v>
      </c>
      <c r="Y24" s="22" t="n">
        <v>2000</v>
      </c>
      <c r="Z24" s="7" t="n">
        <f aca="false">SUMPRODUCT($D$4:$Y$4,D24:Y24)</f>
        <v>10000</v>
      </c>
      <c r="AA24" s="7" t="n">
        <f aca="false">C24-Z24</f>
        <v>4999</v>
      </c>
      <c r="AB24" s="23" t="n">
        <f aca="false">IFERROR(AA24/C24,0)</f>
        <v>0.333288885925728</v>
      </c>
      <c r="AC24" s="2" t="str">
        <f aca="false">IF(AB24&gt;=Assumptions!$C$31,"OK",IF(AB24&gt;=Assumptions!$C$32,"Thin","Reprice"))</f>
        <v>OK</v>
      </c>
      <c r="AD24" s="2" t="s">
        <v>142</v>
      </c>
    </row>
    <row r="25" customFormat="false" ht="15" hidden="false" customHeight="false" outlineLevel="0" collapsed="false">
      <c r="A25" s="2" t="s">
        <v>137</v>
      </c>
      <c r="B25" s="2" t="s">
        <v>143</v>
      </c>
      <c r="C25" s="8" t="n">
        <v>14999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 t="n">
        <v>1</v>
      </c>
      <c r="Y25" s="22" t="n">
        <v>8000</v>
      </c>
      <c r="Z25" s="7" t="n">
        <f aca="false">SUMPRODUCT($D$4:$Y$4,D25:Y25)</f>
        <v>8500</v>
      </c>
      <c r="AA25" s="7" t="n">
        <f aca="false">C25-Z25</f>
        <v>6499</v>
      </c>
      <c r="AB25" s="23" t="n">
        <f aca="false">IFERROR(AA25/C25,0)</f>
        <v>0.433295553036869</v>
      </c>
      <c r="AC25" s="2" t="str">
        <f aca="false">IF(AB25&gt;=Assumptions!$C$31,"OK",IF(AB25&gt;=Assumptions!$C$32,"Thin","Reprice"))</f>
        <v>OK</v>
      </c>
      <c r="AD25" s="2" t="s">
        <v>144</v>
      </c>
    </row>
    <row r="26" customFormat="false" ht="15" hidden="false" customHeight="false" outlineLevel="0" collapsed="false">
      <c r="A26" s="2" t="s">
        <v>137</v>
      </c>
      <c r="B26" s="2" t="s">
        <v>145</v>
      </c>
      <c r="C26" s="8" t="n">
        <v>20999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 t="n">
        <v>14000</v>
      </c>
      <c r="Z26" s="7" t="n">
        <f aca="false">SUMPRODUCT($D$4:$Y$4,D26:Y26)</f>
        <v>14000</v>
      </c>
      <c r="AA26" s="7" t="n">
        <f aca="false">C26-Z26</f>
        <v>6999</v>
      </c>
      <c r="AB26" s="23" t="n">
        <f aca="false">IFERROR(AA26/C26,0)</f>
        <v>0.3333015857898</v>
      </c>
      <c r="AC26" s="2" t="str">
        <f aca="false">IF(AB26&gt;=Assumptions!$C$31,"OK",IF(AB26&gt;=Assumptions!$C$32,"Thin","Reprice"))</f>
        <v>OK</v>
      </c>
      <c r="AD26" s="2" t="s">
        <v>146</v>
      </c>
    </row>
    <row r="27" customFormat="false" ht="15" hidden="false" customHeight="false" outlineLevel="0" collapsed="false">
      <c r="A27" s="2" t="s">
        <v>137</v>
      </c>
      <c r="B27" s="2" t="s">
        <v>147</v>
      </c>
      <c r="C27" s="8" t="n">
        <v>19999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 t="n">
        <v>9000</v>
      </c>
      <c r="Z27" s="7" t="n">
        <f aca="false">SUMPRODUCT($D$4:$Y$4,D27:Y27)</f>
        <v>9000</v>
      </c>
      <c r="AA27" s="7" t="n">
        <f aca="false">C27-Z27</f>
        <v>10999</v>
      </c>
      <c r="AB27" s="23" t="n">
        <f aca="false">IFERROR(AA27/C27,0)</f>
        <v>0.549977498874944</v>
      </c>
      <c r="AC27" s="2" t="str">
        <f aca="false">IF(AB27&gt;=Assumptions!$C$31,"OK",IF(AB27&gt;=Assumptions!$C$32,"Thin","Reprice"))</f>
        <v>OK</v>
      </c>
      <c r="AD27" s="2" t="s">
        <v>148</v>
      </c>
    </row>
    <row r="28" customFormat="false" ht="15" hidden="false" customHeight="false" outlineLevel="0" collapsed="false">
      <c r="A28" s="2" t="s">
        <v>137</v>
      </c>
      <c r="B28" s="2" t="s">
        <v>149</v>
      </c>
      <c r="C28" s="8" t="n">
        <v>6999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 t="n">
        <v>1</v>
      </c>
      <c r="T28" s="22"/>
      <c r="U28" s="22"/>
      <c r="V28" s="22" t="n">
        <v>1</v>
      </c>
      <c r="W28" s="22"/>
      <c r="X28" s="22"/>
      <c r="Y28" s="22"/>
      <c r="Z28" s="7" t="n">
        <f aca="false">SUMPRODUCT($D$4:$Y$4,D28:Y28)</f>
        <v>4500</v>
      </c>
      <c r="AA28" s="7" t="n">
        <f aca="false">C28-Z28</f>
        <v>2499</v>
      </c>
      <c r="AB28" s="23" t="n">
        <f aca="false">IFERROR(AA28/C28,0)</f>
        <v>0.357051007286755</v>
      </c>
      <c r="AC28" s="2" t="str">
        <f aca="false">IF(AB28&gt;=Assumptions!$C$31,"OK",IF(AB28&gt;=Assumptions!$C$32,"Thin","Reprice"))</f>
        <v>OK</v>
      </c>
      <c r="AD28" s="2"/>
    </row>
    <row r="29" customFormat="false" ht="15" hidden="false" customHeight="false" outlineLevel="0" collapsed="false">
      <c r="A29" s="2" t="s">
        <v>137</v>
      </c>
      <c r="B29" s="2" t="s">
        <v>150</v>
      </c>
      <c r="C29" s="8" t="n">
        <v>5999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 t="n">
        <v>3000</v>
      </c>
      <c r="Z29" s="7" t="n">
        <f aca="false">SUMPRODUCT($D$4:$Y$4,D29:Y29)</f>
        <v>3000</v>
      </c>
      <c r="AA29" s="7" t="n">
        <f aca="false">C29-Z29</f>
        <v>2999</v>
      </c>
      <c r="AB29" s="23" t="n">
        <f aca="false">IFERROR(AA29/C29,0)</f>
        <v>0.499916652775463</v>
      </c>
      <c r="AC29" s="2" t="str">
        <f aca="false">IF(AB29&gt;=Assumptions!$C$31,"OK",IF(AB29&gt;=Assumptions!$C$32,"Thin","Reprice"))</f>
        <v>OK</v>
      </c>
      <c r="AD29" s="2"/>
    </row>
    <row r="30" customFormat="false" ht="15" hidden="false" customHeight="false" outlineLevel="0" collapsed="false">
      <c r="A30" s="2" t="s">
        <v>137</v>
      </c>
      <c r="B30" s="2" t="s">
        <v>151</v>
      </c>
      <c r="C30" s="8" t="n">
        <v>2499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 t="n">
        <v>1</v>
      </c>
      <c r="V30" s="22"/>
      <c r="W30" s="22"/>
      <c r="X30" s="22"/>
      <c r="Y30" s="22" t="n">
        <v>300</v>
      </c>
      <c r="Z30" s="7" t="n">
        <f aca="false">SUMPRODUCT($D$4:$Y$4,D30:Y30)</f>
        <v>1300</v>
      </c>
      <c r="AA30" s="7" t="n">
        <f aca="false">C30-Z30</f>
        <v>1199</v>
      </c>
      <c r="AB30" s="23" t="n">
        <f aca="false">IFERROR(AA30/C30,0)</f>
        <v>0.479791916766707</v>
      </c>
      <c r="AC30" s="2" t="str">
        <f aca="false">IF(AB30&gt;=Assumptions!$C$31,"OK",IF(AB30&gt;=Assumptions!$C$32,"Thin","Reprice"))</f>
        <v>OK</v>
      </c>
      <c r="AD30" s="2"/>
    </row>
    <row r="31" customFormat="false" ht="15" hidden="false" customHeight="false" outlineLevel="0" collapsed="false">
      <c r="A31" s="2" t="s">
        <v>137</v>
      </c>
      <c r="B31" s="2" t="s">
        <v>152</v>
      </c>
      <c r="C31" s="8" t="n">
        <v>3499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 t="n">
        <v>1500</v>
      </c>
      <c r="Z31" s="7" t="n">
        <f aca="false">SUMPRODUCT($D$4:$Y$4,D31:Y31)</f>
        <v>1500</v>
      </c>
      <c r="AA31" s="7" t="n">
        <f aca="false">C31-Z31</f>
        <v>1999</v>
      </c>
      <c r="AB31" s="23" t="n">
        <f aca="false">IFERROR(AA31/C31,0)</f>
        <v>0.571306087453558</v>
      </c>
      <c r="AC31" s="2" t="str">
        <f aca="false">IF(AB31&gt;=Assumptions!$C$31,"OK",IF(AB31&gt;=Assumptions!$C$32,"Thin","Reprice"))</f>
        <v>OK</v>
      </c>
      <c r="AD31" s="2"/>
    </row>
    <row r="32" customFormat="false" ht="15" hidden="false" customHeight="false" outlineLevel="0" collapsed="false">
      <c r="A32" s="2" t="s">
        <v>137</v>
      </c>
      <c r="B32" s="2" t="s">
        <v>153</v>
      </c>
      <c r="C32" s="8" t="n">
        <v>5999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 t="n">
        <v>3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7" t="n">
        <f aca="false">SUMPRODUCT($D$4:$Y$4,D32:Y32)</f>
        <v>3000</v>
      </c>
      <c r="AA32" s="7" t="n">
        <f aca="false">C32-Z32</f>
        <v>2999</v>
      </c>
      <c r="AB32" s="23" t="n">
        <f aca="false">IFERROR(AA32/C32,0)</f>
        <v>0.499916652775463</v>
      </c>
      <c r="AC32" s="2" t="str">
        <f aca="false">IF(AB32&gt;=Assumptions!$C$31,"OK",IF(AB32&gt;=Assumptions!$C$32,"Thin","Reprice"))</f>
        <v>OK</v>
      </c>
      <c r="AD32" s="2"/>
    </row>
    <row r="33" customFormat="false" ht="15" hidden="false" customHeight="false" outlineLevel="0" collapsed="false">
      <c r="A33" s="2" t="s">
        <v>137</v>
      </c>
      <c r="B33" s="2" t="s">
        <v>154</v>
      </c>
      <c r="C33" s="8" t="n">
        <v>4999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 t="n">
        <v>1500</v>
      </c>
      <c r="Z33" s="7" t="n">
        <f aca="false">SUMPRODUCT($D$4:$Y$4,D33:Y33)</f>
        <v>1500</v>
      </c>
      <c r="AA33" s="7" t="n">
        <f aca="false">C33-Z33</f>
        <v>3499</v>
      </c>
      <c r="AB33" s="23" t="n">
        <f aca="false">IFERROR(AA33/C33,0)</f>
        <v>0.6999399879976</v>
      </c>
      <c r="AC33" s="2" t="str">
        <f aca="false">IF(AB33&gt;=Assumptions!$C$31,"OK",IF(AB33&gt;=Assumptions!$C$32,"Thin","Reprice"))</f>
        <v>OK</v>
      </c>
      <c r="AD33" s="2" t="s">
        <v>155</v>
      </c>
    </row>
    <row r="34" customFormat="false" ht="15" hidden="false" customHeight="false" outlineLevel="0" collapsed="false">
      <c r="A34" s="2" t="s">
        <v>137</v>
      </c>
      <c r="B34" s="2" t="s">
        <v>156</v>
      </c>
      <c r="C34" s="8" t="n">
        <v>9999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 t="n">
        <v>4000</v>
      </c>
      <c r="Z34" s="7" t="n">
        <f aca="false">SUMPRODUCT($D$4:$Y$4,D34:Y34)</f>
        <v>4000</v>
      </c>
      <c r="AA34" s="7" t="n">
        <f aca="false">C34-Z34</f>
        <v>5999</v>
      </c>
      <c r="AB34" s="23" t="n">
        <f aca="false">IFERROR(AA34/C34,0)</f>
        <v>0.5999599959996</v>
      </c>
      <c r="AC34" s="2" t="str">
        <f aca="false">IF(AB34&gt;=Assumptions!$C$31,"OK",IF(AB34&gt;=Assumptions!$C$32,"Thin","Reprice"))</f>
        <v>OK</v>
      </c>
      <c r="AD34" s="2" t="s">
        <v>157</v>
      </c>
    </row>
    <row r="35" customFormat="false" ht="15" hidden="false" customHeight="false" outlineLevel="0" collapsed="false">
      <c r="A35" s="2" t="s">
        <v>137</v>
      </c>
      <c r="B35" s="2" t="s">
        <v>158</v>
      </c>
      <c r="C35" s="8" t="n">
        <v>2999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 t="n">
        <v>1500</v>
      </c>
      <c r="Z35" s="7" t="n">
        <f aca="false">SUMPRODUCT($D$4:$Y$4,D35:Y35)</f>
        <v>1500</v>
      </c>
      <c r="AA35" s="7" t="n">
        <f aca="false">C35-Z35</f>
        <v>1499</v>
      </c>
      <c r="AB35" s="23" t="n">
        <f aca="false">IFERROR(AA35/C35,0)</f>
        <v>0.499833277759253</v>
      </c>
      <c r="AC35" s="2" t="str">
        <f aca="false">IF(AB35&gt;=Assumptions!$C$31,"OK",IF(AB35&gt;=Assumptions!$C$32,"Thin","Reprice"))</f>
        <v>OK</v>
      </c>
      <c r="AD35" s="2"/>
    </row>
    <row r="36" customFormat="false" ht="15" hidden="false" customHeight="false" outlineLevel="0" collapsed="false">
      <c r="A36" s="2" t="s">
        <v>137</v>
      </c>
      <c r="B36" s="2" t="s">
        <v>159</v>
      </c>
      <c r="C36" s="8" t="n">
        <v>2000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 t="n">
        <v>1000</v>
      </c>
      <c r="Z36" s="7" t="n">
        <f aca="false">SUMPRODUCT($D$4:$Y$4,D36:Y36)</f>
        <v>1000</v>
      </c>
      <c r="AA36" s="7" t="n">
        <f aca="false">C36-Z36</f>
        <v>1000</v>
      </c>
      <c r="AB36" s="23" t="n">
        <f aca="false">IFERROR(AA36/C36,0)</f>
        <v>0.5</v>
      </c>
      <c r="AC36" s="2" t="str">
        <f aca="false">IF(AB36&gt;=Assumptions!$C$31,"OK",IF(AB36&gt;=Assumptions!$C$32,"Thin","Reprice"))</f>
        <v>OK</v>
      </c>
      <c r="AD36" s="2"/>
    </row>
    <row r="38" customFormat="false" ht="15" hidden="false" customHeight="false" outlineLevel="0" collapsed="false">
      <c r="B38" s="4" t="s">
        <v>160</v>
      </c>
    </row>
  </sheetData>
  <conditionalFormatting sqref="AC6:AC3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"Thin"</formula>
    </cfRule>
    <cfRule type="cellIs" priority="4" operator="equal" aboveAverage="0" equalAverage="0" bottom="0" percent="0" rank="0" text="" dxfId="2">
      <formula>"Reprice"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4" t="s">
        <v>162</v>
      </c>
    </row>
    <row r="4" customFormat="false" ht="26.85" hidden="false" customHeight="false" outlineLevel="0" collapsed="false">
      <c r="A4" s="25" t="s">
        <v>94</v>
      </c>
      <c r="B4" s="25" t="s">
        <v>163</v>
      </c>
      <c r="C4" s="25" t="s">
        <v>96</v>
      </c>
      <c r="D4" s="25" t="s">
        <v>164</v>
      </c>
      <c r="E4" s="25" t="s">
        <v>165</v>
      </c>
      <c r="F4" s="25" t="s">
        <v>166</v>
      </c>
      <c r="G4" s="25" t="s">
        <v>98</v>
      </c>
    </row>
    <row r="5" customFormat="false" ht="15" hidden="false" customHeight="false" outlineLevel="0" collapsed="false">
      <c r="A5" s="26" t="str">
        <f aca="false">'Package Costing'!A6</f>
        <v>Wedding</v>
      </c>
      <c r="B5" s="26" t="str">
        <f aca="false">'Package Costing'!B6</f>
        <v>Essential</v>
      </c>
      <c r="C5" s="15" t="n">
        <f aca="false">'Package Costing'!C6</f>
        <v>49999</v>
      </c>
      <c r="D5" s="15" t="n">
        <f aca="false">'Package Costing'!AA6</f>
        <v>11199</v>
      </c>
      <c r="E5" s="27" t="n">
        <v>1</v>
      </c>
      <c r="F5" s="13" t="n">
        <f aca="false">C5*E5</f>
        <v>49999</v>
      </c>
      <c r="G5" s="13" t="n">
        <f aca="false">D5*E5</f>
        <v>11199</v>
      </c>
    </row>
    <row r="6" customFormat="false" ht="15" hidden="false" customHeight="false" outlineLevel="0" collapsed="false">
      <c r="A6" s="26" t="str">
        <f aca="false">'Package Costing'!A7</f>
        <v>Wedding</v>
      </c>
      <c r="B6" s="26" t="str">
        <f aca="false">'Package Costing'!B7</f>
        <v>Classic</v>
      </c>
      <c r="C6" s="15" t="n">
        <f aca="false">'Package Costing'!C7</f>
        <v>84999</v>
      </c>
      <c r="D6" s="15" t="n">
        <f aca="false">'Package Costing'!AA7</f>
        <v>26199</v>
      </c>
      <c r="E6" s="27" t="n">
        <v>2</v>
      </c>
      <c r="F6" s="13" t="n">
        <f aca="false">C6*E6</f>
        <v>169998</v>
      </c>
      <c r="G6" s="13" t="n">
        <f aca="false">D6*E6</f>
        <v>52398</v>
      </c>
    </row>
    <row r="7" customFormat="false" ht="15" hidden="false" customHeight="false" outlineLevel="0" collapsed="false">
      <c r="A7" s="26" t="str">
        <f aca="false">'Package Costing'!A8</f>
        <v>Wedding</v>
      </c>
      <c r="B7" s="26" t="str">
        <f aca="false">'Package Costing'!B8</f>
        <v>Signature</v>
      </c>
      <c r="C7" s="15" t="n">
        <f aca="false">'Package Costing'!C8</f>
        <v>124999</v>
      </c>
      <c r="D7" s="15" t="n">
        <f aca="false">'Package Costing'!AA8</f>
        <v>38199</v>
      </c>
      <c r="E7" s="27" t="n">
        <v>1</v>
      </c>
      <c r="F7" s="13" t="n">
        <f aca="false">C7*E7</f>
        <v>124999</v>
      </c>
      <c r="G7" s="13" t="n">
        <f aca="false">D7*E7</f>
        <v>38199</v>
      </c>
    </row>
    <row r="8" customFormat="false" ht="15" hidden="false" customHeight="false" outlineLevel="0" collapsed="false">
      <c r="A8" s="26" t="str">
        <f aca="false">'Package Costing'!A9</f>
        <v>Wedding</v>
      </c>
      <c r="B8" s="26" t="str">
        <f aca="false">'Package Costing'!B9</f>
        <v>Grand</v>
      </c>
      <c r="C8" s="15" t="n">
        <f aca="false">'Package Costing'!C9</f>
        <v>149999</v>
      </c>
      <c r="D8" s="15" t="n">
        <f aca="false">'Package Costing'!AA9</f>
        <v>41199</v>
      </c>
      <c r="E8" s="27" t="n">
        <v>0</v>
      </c>
      <c r="F8" s="13" t="n">
        <f aca="false">C8*E8</f>
        <v>0</v>
      </c>
      <c r="G8" s="13" t="n">
        <f aca="false">D8*E8</f>
        <v>0</v>
      </c>
    </row>
    <row r="9" customFormat="false" ht="15" hidden="false" customHeight="false" outlineLevel="0" collapsed="false">
      <c r="A9" s="26" t="str">
        <f aca="false">'Package Costing'!A10</f>
        <v>Wedding add-on</v>
      </c>
      <c r="B9" s="26" t="str">
        <f aca="false">'Package Costing'!B10</f>
        <v>Extra ceremony session – Essential crew</v>
      </c>
      <c r="C9" s="15" t="n">
        <f aca="false">'Package Costing'!C10</f>
        <v>23499</v>
      </c>
      <c r="D9" s="15" t="n">
        <f aca="false">'Package Costing'!AA10</f>
        <v>7399</v>
      </c>
      <c r="E9" s="27" t="n">
        <v>0</v>
      </c>
      <c r="F9" s="13" t="n">
        <f aca="false">C9*E9</f>
        <v>0</v>
      </c>
      <c r="G9" s="13" t="n">
        <f aca="false">D9*E9</f>
        <v>0</v>
      </c>
    </row>
    <row r="10" customFormat="false" ht="15" hidden="false" customHeight="false" outlineLevel="0" collapsed="false">
      <c r="A10" s="26" t="str">
        <f aca="false">'Package Costing'!A11</f>
        <v>Wedding add-on</v>
      </c>
      <c r="B10" s="26" t="str">
        <f aca="false">'Package Costing'!B11</f>
        <v>Extra ceremony session – Classic crew</v>
      </c>
      <c r="C10" s="15" t="n">
        <f aca="false">'Package Costing'!C11</f>
        <v>36999</v>
      </c>
      <c r="D10" s="15" t="n">
        <f aca="false">'Package Costing'!AA11</f>
        <v>11399</v>
      </c>
      <c r="E10" s="27" t="n">
        <v>0</v>
      </c>
      <c r="F10" s="13" t="n">
        <f aca="false">C10*E10</f>
        <v>0</v>
      </c>
      <c r="G10" s="13" t="n">
        <f aca="false">D10*E10</f>
        <v>0</v>
      </c>
    </row>
    <row r="11" customFormat="false" ht="15" hidden="false" customHeight="false" outlineLevel="0" collapsed="false">
      <c r="A11" s="26" t="str">
        <f aca="false">'Package Costing'!A12</f>
        <v>Wedding add-on</v>
      </c>
      <c r="B11" s="26" t="str">
        <f aca="false">'Package Costing'!B12</f>
        <v>Extra ceremony session – Signature crew</v>
      </c>
      <c r="C11" s="15" t="n">
        <f aca="false">'Package Costing'!C12</f>
        <v>51999</v>
      </c>
      <c r="D11" s="15" t="n">
        <f aca="false">'Package Costing'!AA12</f>
        <v>16399</v>
      </c>
      <c r="E11" s="27" t="n">
        <v>0</v>
      </c>
      <c r="F11" s="13" t="n">
        <f aca="false">C11*E11</f>
        <v>0</v>
      </c>
      <c r="G11" s="13" t="n">
        <f aca="false">D11*E11</f>
        <v>0</v>
      </c>
    </row>
    <row r="12" customFormat="false" ht="15" hidden="false" customHeight="false" outlineLevel="0" collapsed="false">
      <c r="A12" s="26" t="str">
        <f aca="false">'Package Costing'!A13</f>
        <v>Pre-wedding</v>
      </c>
      <c r="B12" s="26" t="str">
        <f aca="false">'Package Costing'!B13</f>
        <v>Pre-wedding shoot</v>
      </c>
      <c r="C12" s="15" t="n">
        <f aca="false">'Package Costing'!C13</f>
        <v>34999</v>
      </c>
      <c r="D12" s="15" t="n">
        <f aca="false">'Package Costing'!AA13</f>
        <v>11999</v>
      </c>
      <c r="E12" s="27" t="n">
        <v>0</v>
      </c>
      <c r="F12" s="13" t="n">
        <f aca="false">C12*E12</f>
        <v>0</v>
      </c>
      <c r="G12" s="13" t="n">
        <f aca="false">D12*E12</f>
        <v>0</v>
      </c>
    </row>
    <row r="13" customFormat="false" ht="15" hidden="false" customHeight="false" outlineLevel="0" collapsed="false">
      <c r="A13" s="26" t="str">
        <f aca="false">'Package Costing'!A14</f>
        <v>Ceremony</v>
      </c>
      <c r="B13" s="26" t="str">
        <f aca="false">'Package Costing'!B14</f>
        <v>Photo Only</v>
      </c>
      <c r="C13" s="15" t="n">
        <f aca="false">'Package Costing'!C14</f>
        <v>16999</v>
      </c>
      <c r="D13" s="15" t="n">
        <f aca="false">'Package Costing'!AA14</f>
        <v>5199</v>
      </c>
      <c r="E13" s="27" t="n">
        <v>0</v>
      </c>
      <c r="F13" s="13" t="n">
        <f aca="false">C13*E13</f>
        <v>0</v>
      </c>
      <c r="G13" s="13" t="n">
        <f aca="false">D13*E13</f>
        <v>0</v>
      </c>
    </row>
    <row r="14" customFormat="false" ht="15" hidden="false" customHeight="false" outlineLevel="0" collapsed="false">
      <c r="A14" s="26" t="str">
        <f aca="false">'Package Costing'!A15</f>
        <v>Ceremony</v>
      </c>
      <c r="B14" s="26" t="str">
        <f aca="false">'Package Costing'!B15</f>
        <v>Essential</v>
      </c>
      <c r="C14" s="15" t="n">
        <f aca="false">'Package Costing'!C15</f>
        <v>31999</v>
      </c>
      <c r="D14" s="15" t="n">
        <f aca="false">'Package Costing'!AA15</f>
        <v>10199</v>
      </c>
      <c r="E14" s="27" t="n">
        <v>2</v>
      </c>
      <c r="F14" s="13" t="n">
        <f aca="false">C14*E14</f>
        <v>63998</v>
      </c>
      <c r="G14" s="13" t="n">
        <f aca="false">D14*E14</f>
        <v>20398</v>
      </c>
    </row>
    <row r="15" customFormat="false" ht="15" hidden="false" customHeight="false" outlineLevel="0" collapsed="false">
      <c r="A15" s="26" t="str">
        <f aca="false">'Package Costing'!A16</f>
        <v>Ceremony</v>
      </c>
      <c r="B15" s="26" t="str">
        <f aca="false">'Package Costing'!B16</f>
        <v>Premium</v>
      </c>
      <c r="C15" s="15" t="n">
        <f aca="false">'Package Costing'!C16</f>
        <v>47999</v>
      </c>
      <c r="D15" s="15" t="n">
        <f aca="false">'Package Costing'!AA16</f>
        <v>14699</v>
      </c>
      <c r="E15" s="27" t="n">
        <v>1</v>
      </c>
      <c r="F15" s="13" t="n">
        <f aca="false">C15*E15</f>
        <v>47999</v>
      </c>
      <c r="G15" s="13" t="n">
        <f aca="false">D15*E15</f>
        <v>14699</v>
      </c>
    </row>
    <row r="16" customFormat="false" ht="15" hidden="false" customHeight="false" outlineLevel="0" collapsed="false">
      <c r="A16" s="26" t="str">
        <f aca="false">'Package Costing'!A17</f>
        <v>Birthday</v>
      </c>
      <c r="B16" s="26" t="str">
        <f aca="false">'Package Costing'!B17</f>
        <v>Birthday Photo</v>
      </c>
      <c r="C16" s="15" t="n">
        <f aca="false">'Package Costing'!C17</f>
        <v>12999</v>
      </c>
      <c r="D16" s="15" t="n">
        <f aca="false">'Package Costing'!AA17</f>
        <v>5099</v>
      </c>
      <c r="E16" s="27" t="n">
        <v>0</v>
      </c>
      <c r="F16" s="13" t="n">
        <f aca="false">C16*E16</f>
        <v>0</v>
      </c>
      <c r="G16" s="13" t="n">
        <f aca="false">D16*E16</f>
        <v>0</v>
      </c>
    </row>
    <row r="17" customFormat="false" ht="15" hidden="false" customHeight="false" outlineLevel="0" collapsed="false">
      <c r="A17" s="26" t="str">
        <f aca="false">'Package Costing'!A18</f>
        <v>Birthday</v>
      </c>
      <c r="B17" s="26" t="str">
        <f aca="false">'Package Costing'!B18</f>
        <v>Birthday Photo + Video</v>
      </c>
      <c r="C17" s="15" t="n">
        <f aca="false">'Package Costing'!C18</f>
        <v>24999</v>
      </c>
      <c r="D17" s="15" t="n">
        <f aca="false">'Package Costing'!AA18</f>
        <v>9099</v>
      </c>
      <c r="E17" s="27" t="n">
        <v>0</v>
      </c>
      <c r="F17" s="13" t="n">
        <f aca="false">C17*E17</f>
        <v>0</v>
      </c>
      <c r="G17" s="13" t="n">
        <f aca="false">D17*E17</f>
        <v>0</v>
      </c>
    </row>
    <row r="18" customFormat="false" ht="15" hidden="false" customHeight="false" outlineLevel="0" collapsed="false">
      <c r="A18" s="26" t="str">
        <f aca="false">'Package Costing'!A19</f>
        <v>Corporate</v>
      </c>
      <c r="B18" s="26" t="str">
        <f aca="false">'Package Costing'!B19</f>
        <v>Corporate Half Day – Photo</v>
      </c>
      <c r="C18" s="15" t="n">
        <f aca="false">'Package Costing'!C19</f>
        <v>14999</v>
      </c>
      <c r="D18" s="15" t="n">
        <f aca="false">'Package Costing'!AA19</f>
        <v>8099</v>
      </c>
      <c r="E18" s="27" t="n">
        <v>0</v>
      </c>
      <c r="F18" s="13" t="n">
        <f aca="false">C18*E18</f>
        <v>0</v>
      </c>
      <c r="G18" s="13" t="n">
        <f aca="false">D18*E18</f>
        <v>0</v>
      </c>
    </row>
    <row r="19" customFormat="false" ht="15" hidden="false" customHeight="false" outlineLevel="0" collapsed="false">
      <c r="A19" s="26" t="str">
        <f aca="false">'Package Costing'!A20</f>
        <v>Corporate</v>
      </c>
      <c r="B19" s="26" t="str">
        <f aca="false">'Package Costing'!B20</f>
        <v>Corporate Full Day – Photo</v>
      </c>
      <c r="C19" s="15" t="n">
        <f aca="false">'Package Costing'!C20</f>
        <v>24999</v>
      </c>
      <c r="D19" s="15" t="n">
        <f aca="false">'Package Costing'!AA20</f>
        <v>13599</v>
      </c>
      <c r="E19" s="27" t="n">
        <v>1</v>
      </c>
      <c r="F19" s="13" t="n">
        <f aca="false">C19*E19</f>
        <v>24999</v>
      </c>
      <c r="G19" s="13" t="n">
        <f aca="false">D19*E19</f>
        <v>13599</v>
      </c>
    </row>
    <row r="20" customFormat="false" ht="15" hidden="false" customHeight="false" outlineLevel="0" collapsed="false">
      <c r="A20" s="26" t="str">
        <f aca="false">'Package Costing'!A21</f>
        <v>Corporate</v>
      </c>
      <c r="B20" s="26" t="str">
        <f aca="false">'Package Costing'!B21</f>
        <v>Corporate Full Day – Photo + Video</v>
      </c>
      <c r="C20" s="15" t="n">
        <f aca="false">'Package Costing'!C21</f>
        <v>49999</v>
      </c>
      <c r="D20" s="15" t="n">
        <f aca="false">'Package Costing'!AA21</f>
        <v>22199</v>
      </c>
      <c r="E20" s="27" t="n">
        <v>0</v>
      </c>
      <c r="F20" s="13" t="n">
        <f aca="false">C20*E20</f>
        <v>0</v>
      </c>
      <c r="G20" s="13" t="n">
        <f aca="false">D20*E20</f>
        <v>0</v>
      </c>
    </row>
    <row r="21" customFormat="false" ht="15" hidden="false" customHeight="false" outlineLevel="0" collapsed="false">
      <c r="A21" s="26" t="str">
        <f aca="false">'Package Costing'!A22</f>
        <v>Add-on</v>
      </c>
      <c r="B21" s="26" t="str">
        <f aca="false">'Package Costing'!B22</f>
        <v>Drone coverage (per session)</v>
      </c>
      <c r="C21" s="15" t="n">
        <f aca="false">'Package Costing'!C22</f>
        <v>9999</v>
      </c>
      <c r="D21" s="15" t="n">
        <f aca="false">'Package Costing'!AA22</f>
        <v>3999</v>
      </c>
      <c r="E21" s="27" t="n">
        <v>1</v>
      </c>
      <c r="F21" s="13" t="n">
        <f aca="false">C21*E21</f>
        <v>9999</v>
      </c>
      <c r="G21" s="13" t="n">
        <f aca="false">D21*E21</f>
        <v>3999</v>
      </c>
    </row>
    <row r="22" customFormat="false" ht="15" hidden="false" customHeight="false" outlineLevel="0" collapsed="false">
      <c r="A22" s="26" t="str">
        <f aca="false">'Package Costing'!A23</f>
        <v>Add-on</v>
      </c>
      <c r="B22" s="26" t="str">
        <f aca="false">'Package Costing'!B23</f>
        <v>Extra candid photographer (per session)</v>
      </c>
      <c r="C22" s="15" t="n">
        <f aca="false">'Package Costing'!C23</f>
        <v>13999</v>
      </c>
      <c r="D22" s="15" t="n">
        <f aca="false">'Package Costing'!AA23</f>
        <v>4499</v>
      </c>
      <c r="E22" s="27" t="n">
        <v>0</v>
      </c>
      <c r="F22" s="13" t="n">
        <f aca="false">C22*E22</f>
        <v>0</v>
      </c>
      <c r="G22" s="13" t="n">
        <f aca="false">D22*E22</f>
        <v>0</v>
      </c>
    </row>
    <row r="23" customFormat="false" ht="15" hidden="false" customHeight="false" outlineLevel="0" collapsed="false">
      <c r="A23" s="26" t="str">
        <f aca="false">'Package Costing'!A24</f>
        <v>Add-on</v>
      </c>
      <c r="B23" s="26" t="str">
        <f aca="false">'Package Costing'!B24</f>
        <v>Extra cinematographer (per session)</v>
      </c>
      <c r="C23" s="15" t="n">
        <f aca="false">'Package Costing'!C24</f>
        <v>14999</v>
      </c>
      <c r="D23" s="15" t="n">
        <f aca="false">'Package Costing'!AA24</f>
        <v>4999</v>
      </c>
      <c r="E23" s="27" t="n">
        <v>0</v>
      </c>
      <c r="F23" s="13" t="n">
        <f aca="false">C23*E23</f>
        <v>0</v>
      </c>
      <c r="G23" s="13" t="n">
        <f aca="false">D23*E23</f>
        <v>0</v>
      </c>
    </row>
    <row r="24" customFormat="false" ht="15" hidden="false" customHeight="false" outlineLevel="0" collapsed="false">
      <c r="A24" s="26" t="str">
        <f aca="false">'Package Costing'!A25</f>
        <v>Add-on</v>
      </c>
      <c r="B24" s="26" t="str">
        <f aca="false">'Package Costing'!B25</f>
        <v>Live streaming (per session)</v>
      </c>
      <c r="C24" s="15" t="n">
        <f aca="false">'Package Costing'!C25</f>
        <v>14999</v>
      </c>
      <c r="D24" s="15" t="n">
        <f aca="false">'Package Costing'!AA25</f>
        <v>6499</v>
      </c>
      <c r="E24" s="27" t="n">
        <v>0</v>
      </c>
      <c r="F24" s="13" t="n">
        <f aca="false">C24*E24</f>
        <v>0</v>
      </c>
      <c r="G24" s="13" t="n">
        <f aca="false">D24*E24</f>
        <v>0</v>
      </c>
    </row>
    <row r="25" customFormat="false" ht="15" hidden="false" customHeight="false" outlineLevel="0" collapsed="false">
      <c r="A25" s="26" t="str">
        <f aca="false">'Package Costing'!A26</f>
        <v>Add-on</v>
      </c>
      <c r="B25" s="26" t="str">
        <f aca="false">'Package Costing'!B26</f>
        <v>LED wall live display (per session)</v>
      </c>
      <c r="C25" s="15" t="n">
        <f aca="false">'Package Costing'!C26</f>
        <v>20999</v>
      </c>
      <c r="D25" s="15" t="n">
        <f aca="false">'Package Costing'!AA26</f>
        <v>6999</v>
      </c>
      <c r="E25" s="27" t="n">
        <v>0</v>
      </c>
      <c r="F25" s="13" t="n">
        <f aca="false">C25*E25</f>
        <v>0</v>
      </c>
      <c r="G25" s="13" t="n">
        <f aca="false">D25*E25</f>
        <v>0</v>
      </c>
    </row>
    <row r="26" customFormat="false" ht="15" hidden="false" customHeight="false" outlineLevel="0" collapsed="false">
      <c r="A26" s="26" t="str">
        <f aca="false">'Package Costing'!A27</f>
        <v>Add-on</v>
      </c>
      <c r="B26" s="26" t="str">
        <f aca="false">'Package Costing'!B27</f>
        <v>Same-day highlight video</v>
      </c>
      <c r="C26" s="15" t="n">
        <f aca="false">'Package Costing'!C27</f>
        <v>19999</v>
      </c>
      <c r="D26" s="15" t="n">
        <f aca="false">'Package Costing'!AA27</f>
        <v>10999</v>
      </c>
      <c r="E26" s="27" t="n">
        <v>0</v>
      </c>
      <c r="F26" s="13" t="n">
        <f aca="false">C26*E26</f>
        <v>0</v>
      </c>
      <c r="G26" s="13" t="n">
        <f aca="false">D26*E26</f>
        <v>0</v>
      </c>
    </row>
    <row r="27" customFormat="false" ht="15" hidden="false" customHeight="false" outlineLevel="0" collapsed="false">
      <c r="A27" s="26" t="str">
        <f aca="false">'Package Costing'!A28</f>
        <v>Add-on</v>
      </c>
      <c r="B27" s="26" t="str">
        <f aca="false">'Package Costing'!B28</f>
        <v>Extra album 12x30, 25 sheets</v>
      </c>
      <c r="C27" s="15" t="n">
        <f aca="false">'Package Costing'!C28</f>
        <v>6999</v>
      </c>
      <c r="D27" s="15" t="n">
        <f aca="false">'Package Costing'!AA28</f>
        <v>2499</v>
      </c>
      <c r="E27" s="27" t="n">
        <v>2</v>
      </c>
      <c r="F27" s="13" t="n">
        <f aca="false">C27*E27</f>
        <v>13998</v>
      </c>
      <c r="G27" s="13" t="n">
        <f aca="false">D27*E27</f>
        <v>4998</v>
      </c>
    </row>
    <row r="28" customFormat="false" ht="15" hidden="false" customHeight="false" outlineLevel="0" collapsed="false">
      <c r="A28" s="26" t="str">
        <f aca="false">'Package Costing'!A29</f>
        <v>Add-on</v>
      </c>
      <c r="B28" s="26" t="str">
        <f aca="false">'Package Costing'!B29</f>
        <v>Premium lay-flat album upgrade</v>
      </c>
      <c r="C28" s="15" t="n">
        <f aca="false">'Package Costing'!C29</f>
        <v>5999</v>
      </c>
      <c r="D28" s="15" t="n">
        <f aca="false">'Package Costing'!AA29</f>
        <v>2999</v>
      </c>
      <c r="E28" s="27" t="n">
        <v>0</v>
      </c>
      <c r="F28" s="13" t="n">
        <f aca="false">C28*E28</f>
        <v>0</v>
      </c>
      <c r="G28" s="13" t="n">
        <f aca="false">D28*E28</f>
        <v>0</v>
      </c>
    </row>
    <row r="29" customFormat="false" ht="15" hidden="false" customHeight="false" outlineLevel="0" collapsed="false">
      <c r="A29" s="26" t="str">
        <f aca="false">'Package Costing'!A30</f>
        <v>Add-on</v>
      </c>
      <c r="B29" s="26" t="str">
        <f aca="false">'Package Costing'!B30</f>
        <v>Mini album 8x12</v>
      </c>
      <c r="C29" s="15" t="n">
        <f aca="false">'Package Costing'!C30</f>
        <v>2499</v>
      </c>
      <c r="D29" s="15" t="n">
        <f aca="false">'Package Costing'!AA30</f>
        <v>1199</v>
      </c>
      <c r="E29" s="27" t="n">
        <v>0</v>
      </c>
      <c r="F29" s="13" t="n">
        <f aca="false">C29*E29</f>
        <v>0</v>
      </c>
      <c r="G29" s="13" t="n">
        <f aca="false">D29*E29</f>
        <v>0</v>
      </c>
    </row>
    <row r="30" customFormat="false" ht="15" hidden="false" customHeight="false" outlineLevel="0" collapsed="false">
      <c r="A30" s="26" t="str">
        <f aca="false">'Package Costing'!A31</f>
        <v>Add-on</v>
      </c>
      <c r="B30" s="26" t="str">
        <f aca="false">'Package Costing'!B31</f>
        <v>Framed print 20x30</v>
      </c>
      <c r="C30" s="15" t="n">
        <f aca="false">'Package Costing'!C31</f>
        <v>3499</v>
      </c>
      <c r="D30" s="15" t="n">
        <f aca="false">'Package Costing'!AA31</f>
        <v>1999</v>
      </c>
      <c r="E30" s="27" t="n">
        <v>0</v>
      </c>
      <c r="F30" s="13" t="n">
        <f aca="false">C30*E30</f>
        <v>0</v>
      </c>
      <c r="G30" s="13" t="n">
        <f aca="false">D30*E30</f>
        <v>0</v>
      </c>
    </row>
    <row r="31" customFormat="false" ht="15" hidden="false" customHeight="false" outlineLevel="0" collapsed="false">
      <c r="A31" s="26" t="str">
        <f aca="false">'Package Costing'!A32</f>
        <v>Add-on</v>
      </c>
      <c r="B31" s="26" t="str">
        <f aca="false">'Package Costing'!B32</f>
        <v>Reels pack (3 reels)</v>
      </c>
      <c r="C31" s="15" t="n">
        <f aca="false">'Package Costing'!C32</f>
        <v>5999</v>
      </c>
      <c r="D31" s="15" t="n">
        <f aca="false">'Package Costing'!AA32</f>
        <v>2999</v>
      </c>
      <c r="E31" s="27" t="n">
        <v>0</v>
      </c>
      <c r="F31" s="13" t="n">
        <f aca="false">C31*E31</f>
        <v>0</v>
      </c>
      <c r="G31" s="13" t="n">
        <f aca="false">D31*E31</f>
        <v>0</v>
      </c>
    </row>
    <row r="32" customFormat="false" ht="15" hidden="false" customHeight="false" outlineLevel="0" collapsed="false">
      <c r="A32" s="26" t="str">
        <f aca="false">'Package Costing'!A33</f>
        <v>Add-on</v>
      </c>
      <c r="B32" s="26" t="str">
        <f aca="false">'Package Costing'!B33</f>
        <v>Digital video invitation</v>
      </c>
      <c r="C32" s="15" t="n">
        <f aca="false">'Package Costing'!C33</f>
        <v>4999</v>
      </c>
      <c r="D32" s="15" t="n">
        <f aca="false">'Package Costing'!AA33</f>
        <v>3499</v>
      </c>
      <c r="E32" s="27" t="n">
        <v>0</v>
      </c>
      <c r="F32" s="13" t="n">
        <f aca="false">C32*E32</f>
        <v>0</v>
      </c>
      <c r="G32" s="13" t="n">
        <f aca="false">D32*E32</f>
        <v>0</v>
      </c>
    </row>
    <row r="33" customFormat="false" ht="15" hidden="false" customHeight="false" outlineLevel="0" collapsed="false">
      <c r="A33" s="26" t="str">
        <f aca="false">'Package Costing'!A34</f>
        <v>Add-on</v>
      </c>
      <c r="B33" s="26" t="str">
        <f aca="false">'Package Costing'!B34</f>
        <v>Express delivery (21 days)</v>
      </c>
      <c r="C33" s="15" t="n">
        <f aca="false">'Package Costing'!C34</f>
        <v>9999</v>
      </c>
      <c r="D33" s="15" t="n">
        <f aca="false">'Package Costing'!AA34</f>
        <v>5999</v>
      </c>
      <c r="E33" s="27" t="n">
        <v>0</v>
      </c>
      <c r="F33" s="13" t="n">
        <f aca="false">C33*E33</f>
        <v>0</v>
      </c>
      <c r="G33" s="13" t="n">
        <f aca="false">D33*E33</f>
        <v>0</v>
      </c>
    </row>
    <row r="34" customFormat="false" ht="15" hidden="false" customHeight="false" outlineLevel="0" collapsed="false">
      <c r="A34" s="26" t="str">
        <f aca="false">'Package Costing'!A35</f>
        <v>Add-on</v>
      </c>
      <c r="B34" s="26" t="str">
        <f aca="false">'Package Costing'!B35</f>
        <v>Raw video footage on drive</v>
      </c>
      <c r="C34" s="15" t="n">
        <f aca="false">'Package Costing'!C35</f>
        <v>2999</v>
      </c>
      <c r="D34" s="15" t="n">
        <f aca="false">'Package Costing'!AA35</f>
        <v>1499</v>
      </c>
      <c r="E34" s="27" t="n">
        <v>0</v>
      </c>
      <c r="F34" s="13" t="n">
        <f aca="false">C34*E34</f>
        <v>0</v>
      </c>
      <c r="G34" s="13" t="n">
        <f aca="false">D34*E34</f>
        <v>0</v>
      </c>
    </row>
    <row r="35" customFormat="false" ht="15" hidden="false" customHeight="false" outlineLevel="0" collapsed="false">
      <c r="A35" s="26" t="str">
        <f aca="false">'Package Costing'!A36</f>
        <v>Add-on</v>
      </c>
      <c r="B35" s="26" t="str">
        <f aca="false">'Package Costing'!B36</f>
        <v>Extra hour (per crew member)</v>
      </c>
      <c r="C35" s="15" t="n">
        <f aca="false">'Package Costing'!C36</f>
        <v>2000</v>
      </c>
      <c r="D35" s="15" t="n">
        <f aca="false">'Package Costing'!AA36</f>
        <v>1000</v>
      </c>
      <c r="E35" s="27" t="n">
        <v>0</v>
      </c>
      <c r="F35" s="13" t="n">
        <f aca="false">C35*E35</f>
        <v>0</v>
      </c>
      <c r="G35" s="13" t="n">
        <f aca="false">D35*E35</f>
        <v>0</v>
      </c>
    </row>
    <row r="36" customFormat="false" ht="15" hidden="false" customHeight="false" outlineLevel="0" collapsed="false">
      <c r="B36" s="3" t="s">
        <v>167</v>
      </c>
      <c r="E36" s="3" t="n">
        <f aca="false">SUM(E5:E35)</f>
        <v>11</v>
      </c>
      <c r="F36" s="28" t="n">
        <f aca="false">SUM(F5:F35)</f>
        <v>505989</v>
      </c>
      <c r="G36" s="28" t="n">
        <f aca="false">SUM(G5:G35)</f>
        <v>159489</v>
      </c>
    </row>
    <row r="37" customFormat="false" ht="15" hidden="false" customHeight="false" outlineLevel="0" collapsed="false">
      <c r="B37" s="3" t="s">
        <v>168</v>
      </c>
      <c r="G37" s="29" t="n">
        <f aca="false">IFERROR(G36/F36,0)</f>
        <v>0.31520250440227</v>
      </c>
    </row>
    <row r="38" customFormat="false" ht="15" hidden="false" customHeight="false" outlineLevel="0" collapsed="false">
      <c r="B38" s="2" t="s">
        <v>169</v>
      </c>
      <c r="F38" s="15" t="n">
        <f aca="false">F36*Assumptions!C36</f>
        <v>151796.7</v>
      </c>
    </row>
    <row r="40" customFormat="false" ht="15" hidden="false" customHeight="false" outlineLevel="0" collapsed="false">
      <c r="B40" s="4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2026-10-15T10:21:34Z</dcterms:created>
  <dc:creator>openpyxl</dc:creator>
  <dc:description/>
  <dc:language>en-US</dc:language>
  <cp:lastModifiedBy/>
  <dcterms:modified xsi:type="dcterms:W3CDTF">2026-10-15T10:21:34Z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